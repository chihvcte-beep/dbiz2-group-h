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Parameters" sheetId="2" r:id="rId5"/>
    <sheet state="visible" name="W0_Scope" sheetId="3" r:id="rId6"/>
    <sheet state="visible" name="W1_FunctionList" sheetId="4" r:id="rId7"/>
    <sheet state="visible" name="W2_Rollup" sheetId="5" r:id="rId8"/>
    <sheet state="visible" name="W4_Prioritization" sheetId="6" r:id="rId9"/>
    <sheet state="visible" name="W5_Handover" sheetId="7" r:id="rId10"/>
    <sheet state="visible" name="W6_CashFlow" sheetId="8" r:id="rId11"/>
  </sheets>
  <definedNames/>
  <calcPr/>
  <extLst>
    <ext uri="GoogleSheetsCustomDataVersion2">
      <go:sheetsCustomData xmlns:go="http://customooxmlschemas.google.com/" r:id="rId12" roundtripDataChecksum="8AJkeFLq3tV3YcCmGT+tM4A7SkKWhQi/tLwCSlzfGsI="/>
    </ext>
  </extLst>
</workbook>
</file>

<file path=xl/sharedStrings.xml><?xml version="1.0" encoding="utf-8"?>
<sst xmlns="http://schemas.openxmlformats.org/spreadsheetml/2006/main" count="1936" uniqueCount="886">
  <si>
    <t>W0 — Establish scope and split into features</t>
  </si>
  <si>
    <t>Parameters — Fixed for the whole class</t>
  </si>
  <si>
    <t>DBIZ2 · Session 7 — Workshop workbook</t>
  </si>
  <si>
    <t>W1 — Decompose features into the function list</t>
  </si>
  <si>
    <t>INPUT</t>
  </si>
  <si>
    <t>The Use Case Diagram, the CVCA and the Context Diagram, updated after the user meeting. Every diagram element must already carry an ID.</t>
  </si>
  <si>
    <t>PURPOSE</t>
  </si>
  <si>
    <t>One sheet per workshop block (W0–W5). Each sheet's output is the next sheet's input, wired with real formulas. Nothing is retyped between sheets.</t>
  </si>
  <si>
    <t>Labour-market data, productivity assumptions and the team capacity, fixed for the whole cohort.</t>
  </si>
  <si>
    <t>OUTPUT</t>
  </si>
  <si>
    <t>(a) a complete use-case inventory, (b) a small set of features, each a folder under specs/, (c) an explicit Won't-have list, (d) the data functions the system maintains or reads. Feature IDs feed column A of W1.</t>
  </si>
  <si>
    <t>PROCEDURE</t>
  </si>
  <si>
    <t>ADD / REMOVE</t>
  </si>
  <si>
    <t>1. List EVERY use case in Table 1 — names only, no discussion yet.
2. Cluster them into features in Table 2. A feature name is a business noun the client recognises, never a screen name or a technical module.
3. Coverage check against the CVCA: every primary actor must be served by at least one feature.
4. Record anything excluded in Table 3, with the reason.
5. In Table 4, list the data the system MAINTAINS (ILF) and the data it only READS from another system (EIF). Read these off the Context Diagram boundary.</t>
  </si>
  <si>
    <t>Every table has spare rows and every formula spans the whole table, so adding or deleting a function anywhere updates the rest of the workbook automatically. Type into the next blank row; clear a row to delete it. Do not delete whole spreadsheet rows.</t>
  </si>
  <si>
    <t>Every derived number in W1, W2, W4 and W5 traces back to a cell on this sheet.</t>
  </si>
  <si>
    <t>RULE</t>
  </si>
  <si>
    <t>Merge any feature expected to hold fewer than 3 L2 rows. A feature that no use case and no CVCA flow points at does not belong in the release.</t>
  </si>
  <si>
    <t>WHY FIXED</t>
  </si>
  <si>
    <t>If each team invented its own rates the exercise would test guessing rather than the model, and results would not be comparable at marking. The point of a published parameter is that the subjectivity sits in ONE auditable place instead of forty scattered ones.</t>
  </si>
  <si>
    <t>IF A FORMULA BREAKS</t>
  </si>
  <si>
    <t>Never type into a green or black cell. If you do, clear it and copy the formula down from the row above. The integrity line at the bottom of W1 reports any row that lost its Base hours formula.</t>
  </si>
  <si>
    <t>SEED DATA</t>
  </si>
  <si>
    <t>A small worked example ships with the workbook — LabDesk, a computer-lab reservation system, with three features. Teams clear it and enter their own project.</t>
  </si>
  <si>
    <t>1. Effort size to base hours (applied at level 3)</t>
  </si>
  <si>
    <t>Data chain</t>
  </si>
  <si>
    <t>The feature list from W0 and the five design diagrams: Use Case, Sequence, Context (DFD L0), CVCA, Architecture + ADR.</t>
  </si>
  <si>
    <t>Every function at two levels. L2 = a business behaviour the client signs off, carrying the EARS criterion and the function-point type. L3 = one work item in one technical layer. No money on this sheet.</t>
  </si>
  <si>
    <t>1. Sweep the five diagrams, ONE DIAGRAM PER PASS. Record every candidate with the diagram element it came from.
2. Merge duplicates — keep one row, accumulate the sources in column E.
3. Write one EARS sentence per L2 row.
4. Classify each L2 row by function-point type: EI, EO, EQ, or NC when it is a rule or a non-functional item living inside another transaction.
5. Split each L2 into L3 rows by layer (FE / BE / INT) and give each a size.
6. Set an initial MoSCoW priority by instinct. W4 is where it is tightened.</t>
  </si>
  <si>
    <t>Sheet</t>
  </si>
  <si>
    <t>Block</t>
  </si>
  <si>
    <t>Input taken from</t>
  </si>
  <si>
    <t>WATCH FOR</t>
  </si>
  <si>
    <t>Output flowing out</t>
  </si>
  <si>
    <t>Cells the team fills</t>
  </si>
  <si>
    <t>Owner</t>
  </si>
  <si>
    <t>Many valuable rows are NC — 'prevent double booking', 'enforce authorisation', 'deploy automatically'. They score zero function points and are often the most expensive rows in the sheet. That gap is the reason the function-point count is a CROSS-CHECK, never the estimate itself.</t>
  </si>
  <si>
    <t>Parameters</t>
  </si>
  <si>
    <t>before the session</t>
  </si>
  <si>
    <t>Type into the next blank row to add a function; clear a row's contents to remove it. Every other sheet follows automatically.</t>
  </si>
  <si>
    <t>Rates, factors, capacity, thresholds set by the lecturer</t>
  </si>
  <si>
    <t>Every derived number in W1, W2, W4, W5</t>
  </si>
  <si>
    <t>All yellow cells</t>
  </si>
  <si>
    <t>Lecturer</t>
  </si>
  <si>
    <t>Size</t>
  </si>
  <si>
    <t>Hours</t>
  </si>
  <si>
    <t>Note</t>
  </si>
  <si>
    <t>W0_Scope</t>
  </si>
  <si>
    <t>W0</t>
  </si>
  <si>
    <t>Table 1 · Use case inventory — list every use case before clustering</t>
  </si>
  <si>
    <t>Use Case Diagram; CVCA; Context Diagram</t>
  </si>
  <si>
    <t>Feature list → W1; data functions → FP count; Won't-have → W5</t>
  </si>
  <si>
    <t>Tables 1–4</t>
  </si>
  <si>
    <t>Whole team</t>
  </si>
  <si>
    <t>S</t>
  </si>
  <si>
    <t>Feature</t>
  </si>
  <si>
    <t>W1_FunctionList</t>
  </si>
  <si>
    <t>W1</t>
  </si>
  <si>
    <t>Features from W0; the five design diagrams</t>
  </si>
  <si>
    <t>L2 and L3 rows → W2_Costing and W4</t>
  </si>
  <si>
    <t>Columns A–J, L–N</t>
  </si>
  <si>
    <t>L2 ID</t>
  </si>
  <si>
    <t>Feature owners</t>
  </si>
  <si>
    <t>L2 function name</t>
  </si>
  <si>
    <t>Use case ID</t>
  </si>
  <si>
    <t>Actor</t>
  </si>
  <si>
    <t>EARS acceptance criterion</t>
  </si>
  <si>
    <t>Source trace</t>
  </si>
  <si>
    <t>Dependency</t>
  </si>
  <si>
    <t>Initial priority</t>
  </si>
  <si>
    <t>Use case name</t>
  </si>
  <si>
    <t>FP type</t>
  </si>
  <si>
    <t>Primary actor</t>
  </si>
  <si>
    <t>L3 ID</t>
  </si>
  <si>
    <t>Assigned feature</t>
  </si>
  <si>
    <t>Ceiling for one L3 row is 16 h — above that it is not yet an L3 row</t>
  </si>
  <si>
    <t>Layer</t>
  </si>
  <si>
    <t>Login required</t>
  </si>
  <si>
    <t>L3 work item</t>
  </si>
  <si>
    <t>Base hours</t>
  </si>
  <si>
    <t>W2_Costing</t>
  </si>
  <si>
    <t>EARS precise?</t>
  </si>
  <si>
    <t>W2</t>
  </si>
  <si>
    <t>Hidden work?</t>
  </si>
  <si>
    <t>W1 rows; Parameters</t>
  </si>
  <si>
    <t>New L2</t>
  </si>
  <si>
    <t>L2 index</t>
  </si>
  <si>
    <t>Cost per L3 and per L2; function-point cross-check → W2_Rollup</t>
  </si>
  <si>
    <t>FP value</t>
  </si>
  <si>
    <t>Nothing — fully derived</t>
  </si>
  <si>
    <t>UC-01</t>
  </si>
  <si>
    <t>—</t>
  </si>
  <si>
    <t>View book shelf location</t>
  </si>
  <si>
    <t>Reader</t>
  </si>
  <si>
    <t>F-01</t>
  </si>
  <si>
    <t>No</t>
  </si>
  <si>
    <t>M</t>
  </si>
  <si>
    <t>Matches the test: ask a developer; an answer of 4–16 h is correct granularity</t>
  </si>
  <si>
    <t>UC-02</t>
  </si>
  <si>
    <t>FR-01-01</t>
  </si>
  <si>
    <t>Browse interactive digital library map</t>
  </si>
  <si>
    <t>System</t>
  </si>
  <si>
    <t>WHEN a reader opens a book detail page, the system SHALL display the floor, room and shelf code where the book is placed.</t>
  </si>
  <si>
    <t>UC:UC-01; DFD L0: Book placement &amp; library layout (EIF)</t>
  </si>
  <si>
    <t>–</t>
  </si>
  <si>
    <t>UC-03</t>
  </si>
  <si>
    <t>Filter books by access format (online, physical or both)</t>
  </si>
  <si>
    <t>L</t>
  </si>
  <si>
    <t>F-03</t>
  </si>
  <si>
    <t>W2_Rollup</t>
  </si>
  <si>
    <t>Machine signals → W3; three headline figures → W5</t>
  </si>
  <si>
    <t>Three shared observations</t>
  </si>
  <si>
    <t>UC-04</t>
  </si>
  <si>
    <t>Integrator</t>
  </si>
  <si>
    <t>Write, edit and delete own book reviews</t>
  </si>
  <si>
    <t>F-02</t>
  </si>
  <si>
    <t>Yes</t>
  </si>
  <si>
    <t>Must</t>
  </si>
  <si>
    <t>UC-05</t>
  </si>
  <si>
    <t>View book reviews</t>
  </si>
  <si>
    <t>EQ</t>
  </si>
  <si>
    <t>W3_CrossReview</t>
  </si>
  <si>
    <t>FR-01-01-FE</t>
  </si>
  <si>
    <t>W3</t>
  </si>
  <si>
    <t>Machine signals from W2_Rollup</t>
  </si>
  <si>
    <t>Defect log → W4 buckets</t>
  </si>
  <si>
    <t>Blue = owning team · Orange = reviewing team</t>
  </si>
  <si>
    <t>UC-06</t>
  </si>
  <si>
    <t>Two teams</t>
  </si>
  <si>
    <t>FE</t>
  </si>
  <si>
    <t>Access book information and reviews via QR code (physical books; reviews via UC-04)</t>
  </si>
  <si>
    <t>Screen: shelf location panel on the book detail page</t>
  </si>
  <si>
    <t>2. Technical layer to AI leverage and default seniority</t>
  </si>
  <si>
    <t>UC-07</t>
  </si>
  <si>
    <t>Update and view personal reading history and preferences</t>
  </si>
  <si>
    <t>W4_Prioritization</t>
  </si>
  <si>
    <t>W4</t>
  </si>
  <si>
    <t>Initial priority from W1; defects from W3</t>
  </si>
  <si>
    <t>Effective priority → back into W2_Costing</t>
  </si>
  <si>
    <t>Rule, Kano, new priority, justification</t>
  </si>
  <si>
    <t>UC-08</t>
  </si>
  <si>
    <t>AI-based conversational book search</t>
  </si>
  <si>
    <t>AI leverage factor</t>
  </si>
  <si>
    <t>Default band</t>
  </si>
  <si>
    <t>UC-09</t>
  </si>
  <si>
    <t>Automatic personalised book recommendations</t>
  </si>
  <si>
    <t>W5_Handover</t>
  </si>
  <si>
    <t>W5</t>
  </si>
  <si>
    <t>Three figures from W2_Rollup; Parameters</t>
  </si>
  <si>
    <t>business-case.md, tasks.md, Session 8</t>
  </si>
  <si>
    <t>Open questions and notes</t>
  </si>
  <si>
    <t>UC-10</t>
  </si>
  <si>
    <t>Print QR code labels for physical books (QR codes are generated automatically)</t>
  </si>
  <si>
    <t>On-site Staff</t>
  </si>
  <si>
    <t>Staff login</t>
  </si>
  <si>
    <t>UC-11</t>
  </si>
  <si>
    <t>Junior</t>
  </si>
  <si>
    <t>Register and sign in (library card with email OTP)</t>
  </si>
  <si>
    <t>F-04</t>
  </si>
  <si>
    <t>Screens, forms, repeated patterns — AI generates these well</t>
  </si>
  <si>
    <t>UC-12</t>
  </si>
  <si>
    <t>Save physical books to a personal list for finding them later in the library, and remove them from the list</t>
  </si>
  <si>
    <t>Colour convention</t>
  </si>
  <si>
    <t>UC-13</t>
  </si>
  <si>
    <t>Remove reviews that violate rules</t>
  </si>
  <si>
    <t>Blue text</t>
  </si>
  <si>
    <t>UC-14</t>
  </si>
  <si>
    <t>Report a review that violates rules</t>
  </si>
  <si>
    <t>BE</t>
  </si>
  <si>
    <t>Senior</t>
  </si>
  <si>
    <t>A cell you type into</t>
  </si>
  <si>
    <t>Business logic, state, concurrency</t>
  </si>
  <si>
    <t>Black text</t>
  </si>
  <si>
    <t>INT</t>
  </si>
  <si>
    <t>A formula computed inside this sheet — do not overwrite</t>
  </si>
  <si>
    <t>Third-party APIs, credentials, sandboxes — AI helps least here</t>
  </si>
  <si>
    <t>Table 2 · Feature list — this is what flows into W1</t>
  </si>
  <si>
    <t>Green text</t>
  </si>
  <si>
    <t>A formula pulling from another sheet — do not overwrite</t>
  </si>
  <si>
    <t>Feature ID</t>
  </si>
  <si>
    <t>Feature name (business noun)</t>
  </si>
  <si>
    <t>Scope in one sentence</t>
  </si>
  <si>
    <t>Primary actors served</t>
  </si>
  <si>
    <t>Use cases covered</t>
  </si>
  <si>
    <t>Book Location &amp; Library Map</t>
  </si>
  <si>
    <t>Readers see the exact shelf location of each book and browse a digital map of floors and reading rooms.</t>
  </si>
  <si>
    <t>3. Hourly cost by seniority band (VND / hour)</t>
  </si>
  <si>
    <t>Owner A</t>
  </si>
  <si>
    <t>UC-01, UC-02</t>
  </si>
  <si>
    <t>Yellow fill</t>
  </si>
  <si>
    <t>A cell that must be filled in</t>
  </si>
  <si>
    <t>Reviews &amp; QR</t>
  </si>
  <si>
    <t>Readers write, edit, delete and read reviews of books, including by scanning a QR code on a physical book, and On-site Staff print the QR labels and remove reviews that violate rules.</t>
  </si>
  <si>
    <t>Reader, On-site Staff</t>
  </si>
  <si>
    <t>Band</t>
  </si>
  <si>
    <t>Owner C</t>
  </si>
  <si>
    <t>UC-04, UC-05, UC-06, UC-10, UC-13, UC-14</t>
  </si>
  <si>
    <t>Rate</t>
  </si>
  <si>
    <t>Source</t>
  </si>
  <si>
    <t>Discovery, Reading History &amp; Recommendation</t>
  </si>
  <si>
    <t>Light blue fill</t>
  </si>
  <si>
    <t>Readers filter books by access format (online, physical or both), keep a reading history and a saved-books list, and get AI chatbot search and recommendations based on their preferences.</t>
  </si>
  <si>
    <t>Owner D</t>
  </si>
  <si>
    <t>UC-03, UC-07, UC-08, UC-09, UC-12</t>
  </si>
  <si>
    <t>Filled by the OWNING team (W3 only)</t>
  </si>
  <si>
    <t>Platform, Access &amp; Operations</t>
  </si>
  <si>
    <t>Readers sign in (library card with email OTP), On-site Staff sign in with their internal library accounts to reach their minimal page, and the platform syncs data from the library's internal system, is deployed and keeps an audit log.</t>
  </si>
  <si>
    <t>All actors</t>
  </si>
  <si>
    <t>ITviec 2025-26 median 25.35m VND/month x 1.35 overhead / 176 h</t>
  </si>
  <si>
    <t>Orange fill</t>
  </si>
  <si>
    <t>Filled by the REVIEWING team (W3 only)</t>
  </si>
  <si>
    <t>ITviec 2025-26 median 39.9m VND/month x 1.35 / 176 h</t>
  </si>
  <si>
    <t>Three rules said out loud</t>
  </si>
  <si>
    <t>Expert</t>
  </si>
  <si>
    <t>ITviec 2025-26 median 54.9m VND/month x 1.35 / 176 h</t>
  </si>
  <si>
    <t>1. One diagram per sweep. Mixing diagrams destroys the source trail — for people and for AI alike.</t>
  </si>
  <si>
    <t>4. Verification factor (driven by acceptance-criterion quality)</t>
  </si>
  <si>
    <t>2. Cut by lowering priority, never by lowering effort.</t>
  </si>
  <si>
    <t>Feature count</t>
  </si>
  <si>
    <t>Factor</t>
  </si>
  <si>
    <t>3. Green cells and the whole W2 block are derived views. If a number looks wrong, fix the source and recalculate.</t>
  </si>
  <si>
    <t>Clear criteria — fast to verify, often automatable</t>
  </si>
  <si>
    <t>Vague criteria — a person must reason the answer out from scratch</t>
  </si>
  <si>
    <t>5. Function point weights (IFPUG average complexity)</t>
  </si>
  <si>
    <t>Weight</t>
  </si>
  <si>
    <t>What it counts</t>
  </si>
  <si>
    <t>Table 3 · Won't-have — record it here, never drop it silently</t>
  </si>
  <si>
    <t>EI</t>
  </si>
  <si>
    <t>External Input — data crosses the boundary inward and changes stored data</t>
  </si>
  <si>
    <t>Excluded from scope</t>
  </si>
  <si>
    <t>How it surfaced</t>
  </si>
  <si>
    <t>Reason for exclusion</t>
  </si>
  <si>
    <t>EO</t>
  </si>
  <si>
    <t>External Output — data leaves the boundary WITH derived values or calculation</t>
  </si>
  <si>
    <t>Automatic tracking of reading progress and finished books</t>
  </si>
  <si>
    <t>Stated in the note under UC-07</t>
  </si>
  <si>
    <t>The library records borrow/return of physical books but not pages read. Online books opened by library card readers and borrowed physical books enter the history automatically; readers mark Reading or Finished and enter progress manually in release 1</t>
  </si>
  <si>
    <t>External inQuiry — retrieval only, no derived data, nothing stored changes</t>
  </si>
  <si>
    <t>Borrowing, returning and renewing loans</t>
  </si>
  <si>
    <t>Implied by former UC-05 ('ready for borrowing', removed from the diagram); no loan use case in the diagram</t>
  </si>
  <si>
    <t>Stays in the library's internal system; this platform does not handle loans. The current OPAC already shows copy availability and the Borrow action</t>
  </si>
  <si>
    <t>ILF</t>
  </si>
  <si>
    <t>Internal Logical File — a group of data the system itself maintains</t>
  </si>
  <si>
    <t>Reading online content inside the platform</t>
  </si>
  <si>
    <t>Implied by UC-03 (Online format); no viewer use case in the diagram</t>
  </si>
  <si>
    <t>Confirmed: online books can be opened or downloaded without sign-in on the existing OPAC; this platform builds no viewer and no download of its own</t>
  </si>
  <si>
    <t>EIF</t>
  </si>
  <si>
    <t>Assigning or editing shelf codes and the library layout</t>
  </si>
  <si>
    <t>Implied by the original UC-01 (Manage book locations)</t>
  </si>
  <si>
    <t>Done in the library's internal system; this platform only reads the data and publishes it to readers</t>
  </si>
  <si>
    <t>External Interface File — data the system reads but never maintains</t>
  </si>
  <si>
    <t>Full librarian/admin workspace in the OPAC</t>
  </si>
  <si>
    <t>Implied by the original actor Librarian/Admin</t>
  </si>
  <si>
    <t>Staff use only a minimal page (QR label printing, review removal) with their internal accounts; catalogue, shelf codes and loans are managed in the internal system</t>
  </si>
  <si>
    <t>NC</t>
  </si>
  <si>
    <t>Not countable — a business rule or non-functional item inside another transaction</t>
  </si>
  <si>
    <t>Traditional keyword search</t>
  </si>
  <si>
    <t>Not in any use case</t>
  </si>
  <si>
    <t>Already provided by the current OPAC; this platform adds filtering and AI chatbot search only</t>
  </si>
  <si>
    <t>Hours per unadjusted function point</t>
  </si>
  <si>
    <t>QR codes for online-only books</t>
  </si>
  <si>
    <t>Business rule on UC-06</t>
  </si>
  <si>
    <t>Online-only books have no physical copy to attach a QR code to; readers download the PDF instead</t>
  </si>
  <si>
    <t>Class parameter, PRE-AI gross hours. Published industry figures range very widely; calibrate this from your own delivered projects rather than importing a benchmark</t>
  </si>
  <si>
    <t>Sending reader reviews and feedback to the library's internal system, or a report/dashboard of them for library staff</t>
  </si>
  <si>
    <t>Implied by the CVCA flow 'reader feedback &amp; rate books' to the library (flow to be removed from the CVCA)</t>
  </si>
  <si>
    <t>Reviews and feedback stay in this platform and are not sent to the internal system</t>
  </si>
  <si>
    <t>Screen for library staff to edit floor plans and rooms</t>
  </si>
  <si>
    <t>Implied by UC-02 (digital library map)</t>
  </si>
  <si>
    <t>No digital floor plan exists today; the team prepares it once. Changes to the room layout are made by the team, not through a screen in release 1</t>
  </si>
  <si>
    <t>Features not rebuilt: (a) like/dislike rating, list of books in a room, copy availability and borrow status, already on the current OPAC; (b) viewing and filtering by collection status (In collection / Coming soon)</t>
  </si>
  <si>
    <t>(a) Confirmed on the current OPAC (document location panel shows each copy, its circulation point and status); (b) former UC-03, dropped after team review</t>
  </si>
  <si>
    <t>(a) Not rebuilt. This platform keeps text reviews only and does not read copy circulation status. (b) The internal system holds the field, but readers do not need it on the web</t>
  </si>
  <si>
    <t>Showing the access format of each book on the book detail page (FR-03-14) and downloading PDFs on this platform (FR-03-15)</t>
  </si>
  <si>
    <t>6. Team capacity for DBIZ3</t>
  </si>
  <si>
    <t>Scope cut after the W4 capacity review (UC-03 reduced to the access-format filter)</t>
  </si>
  <si>
    <t>Download PDF: the current OPAC already has this function and online books can be downloaded without sign-in, so it is not rebuilt. Access format display: for physical books the OPAC already shows the number of copies and the shelf location; for online books it already shows a download button. This platform only adds the online / physical / both filter (FR-03-12)</t>
  </si>
  <si>
    <t>Online reader accounts: register or sign in with email OTP (FR-04-02), Google sign-in (FR-04-03), linking an online account to a library card and its check (FR-04-05, FR-04-06)</t>
  </si>
  <si>
    <t>Scope cut after the W4 capacity review (UC-11 online part)</t>
  </si>
  <si>
    <t>Only library card holders sign in (library card + email OTP, FR-04-01). Online books are opened or downloaded without any account, so there is nothing to link</t>
  </si>
  <si>
    <t>Team members</t>
  </si>
  <si>
    <t>Error tracking, health check and alerts to the project team (FR-04-15)</t>
  </si>
  <si>
    <t>Weeks</t>
  </si>
  <si>
    <t>Hidden work in F-04, cut after the W4 capacity review</t>
  </si>
  <si>
    <t>Deferred to fit team capacity; the team checks the system by hand in release 1</t>
  </si>
  <si>
    <t>Table 4 · Data functions — what the system maintains (ILF) or only reads (EIF)</t>
  </si>
  <si>
    <t>Productive hours per person per week</t>
  </si>
  <si>
    <t>Hours actually spent building, not hours present</t>
  </si>
  <si>
    <t>Data group</t>
  </si>
  <si>
    <t>ILF / EIF</t>
  </si>
  <si>
    <t>Why</t>
  </si>
  <si>
    <t>Function points</t>
  </si>
  <si>
    <t>Book placement &amp; library layout</t>
  </si>
  <si>
    <t>Total capacity (person-hours)</t>
  </si>
  <si>
    <t>Rooms, shelf codes and book-to-shelf assignments, plus the list of floors and rooms, read from the library's internal system, never written (UC-01, UC-02). The floor-plan drawing is a fixed asset built once by the project team, not a data function; its room codes must match the internal system</t>
  </si>
  <si>
    <t>FR-01-01-BE</t>
  </si>
  <si>
    <t>API: get floor, room and shelf code by book ID</t>
  </si>
  <si>
    <t>Hard ceiling for the whole scope: Must + Should + Could</t>
  </si>
  <si>
    <t>7. Thresholds</t>
  </si>
  <si>
    <t>Must, maximum share of scope effort</t>
  </si>
  <si>
    <t>DSDM: above 60% the project enters the risk zone</t>
  </si>
  <si>
    <t>Could, target share of scope effort</t>
  </si>
  <si>
    <t>The contingency pool, expressed as scope rather than money</t>
  </si>
  <si>
    <t>Hidden technical work, minimum share</t>
  </si>
  <si>
    <t>Real projects run 20–30%; below 10% something is missing</t>
  </si>
  <si>
    <t>Maximum hours for one L3 row</t>
  </si>
  <si>
    <t>Minimum number of features</t>
  </si>
  <si>
    <t>Maximum number of features</t>
  </si>
  <si>
    <t>Estimate variance that triggers a review</t>
  </si>
  <si>
    <t>If bottom-up and function-point estimates differ by more than this, something is mis-sized</t>
  </si>
  <si>
    <t>8. Formulas</t>
  </si>
  <si>
    <t>Person-hours  =  base hours x AI leverage factor  +  base hours x verification factor</t>
  </si>
  <si>
    <t>Cost  =  person-hours x hourly rate for the seniority band</t>
  </si>
  <si>
    <t>Book review</t>
  </si>
  <si>
    <t>Written by readers, stored and shown by the system; readers can report a review and staff can remove reviews that violate rules (UC-04 to UC-06, UC-13, UC-14)</t>
  </si>
  <si>
    <t>Function-point cross-check  =  unadjusted function points x hours per FP  (compare against total base hours)</t>
  </si>
  <si>
    <t>FR-01-02</t>
  </si>
  <si>
    <t>Browse the digital library map</t>
  </si>
  <si>
    <t>WHEN a reader opens the library map, the system SHALL display the floors and the reading rooms of each floor.</t>
  </si>
  <si>
    <t>Note: once a ~20% Could pool exists as scope contingency, do NOT add a further 20% money contingency on top — that counts the same buffer twice.</t>
  </si>
  <si>
    <t>UC:UC-02; DFD L0: Book placement &amp; library layout (EIF)</t>
  </si>
  <si>
    <t>FR-01-02-FE</t>
  </si>
  <si>
    <t>Screen: interactive floor plan with floor switcher and clickable rooms</t>
  </si>
  <si>
    <t>9. Estimation basis — which method drives the hours</t>
  </si>
  <si>
    <t>Estimation basis</t>
  </si>
  <si>
    <t>Bottom-up</t>
  </si>
  <si>
    <t>Switch this and the whole workbook recalculates on the other method.</t>
  </si>
  <si>
    <t>Reading history &amp; preferences</t>
  </si>
  <si>
    <t>History entries are added automatically (opening of an online book by a library card reader; borrow of a physical book, library card accounts only); status Reading/Finished, progress and preferences are entered by readers (UC-07, UC-09)</t>
  </si>
  <si>
    <t>Bottom-up: base hours come from the S / M / L label on each L3 row.
Function-point: the L2 total comes from its function-point count x hours per FP, then S / M / L acts only as the RELATIVE weight that distributes those hours across the L3 rows. NC rows have no function points, so they always fall back to bottom-up — that is the 0 function point problem, and it is why the two methods can never fully replace each other.</t>
  </si>
  <si>
    <t>Book catalogue</t>
  </si>
  <si>
    <t>Titles, authors, subjects, summaries and access formats read from the library's internal system, never written (UC-03, UC-06)</t>
  </si>
  <si>
    <t>FR-01-02-BE</t>
  </si>
  <si>
    <t>API: list floors and rooms</t>
  </si>
  <si>
    <t>Reader accounts</t>
  </si>
  <si>
    <t>Reader identity, library card number and the email declared when the card was made (used to send the OTP) read from the library's existing reader accounts, never written (UC-11)</t>
  </si>
  <si>
    <t>Book QR codes</t>
  </si>
  <si>
    <t>QR codes generated automatically for each new physical book, with scan counts kept for analysis and AI training; also the entry point for writing reviews (UC-06, UC-10)</t>
  </si>
  <si>
    <t>Saved books list</t>
  </si>
  <si>
    <t>Physical books that readers save, with a library card account, to find them later in the library (UC-12)</t>
  </si>
  <si>
    <t>FR-01-03</t>
  </si>
  <si>
    <t>Show a book's room on the map</t>
  </si>
  <si>
    <t>WHEN a reader selects the map link on a book shelf location, the system SHALL open the library map with the room that holds the book highlighted.</t>
  </si>
  <si>
    <t>UC:UC-01; UC:UC-02</t>
  </si>
  <si>
    <t>Should</t>
  </si>
  <si>
    <t>FR-01-03-FE</t>
  </si>
  <si>
    <t>Screen: map view with highlighted room and deep link from book detail</t>
  </si>
  <si>
    <t>Reader loan records</t>
  </si>
  <si>
    <t>Borrow/return history of each library card account, read from the library's internal system, never written (UC-07)</t>
  </si>
  <si>
    <t>Chatbot conversations</t>
  </si>
  <si>
    <t>Messages and needs readers state to the chatbot, saved per reader to personalise search and recommendations (UC-08, UC-09)</t>
  </si>
  <si>
    <t>Staff accounts</t>
  </si>
  <si>
    <t>On-site Staff identity read from the library's internal accounts, never written (sign-in to the staff page)</t>
  </si>
  <si>
    <t>FR-01-03-BE</t>
  </si>
  <si>
    <t>API: return room map coordinates with the shelf location</t>
  </si>
  <si>
    <t>Online book read log</t>
  </si>
  <si>
    <t>Book ID and time of each online-book read, stored without any reader identity, kept to analyse use and to train the AI features (UC-03)</t>
  </si>
  <si>
    <t>FR-01-04</t>
  </si>
  <si>
    <t>Prepare the digital floor plan</t>
  </si>
  <si>
    <t>The system SHALL provide a digital floor plan of every floor in which each reading room carries the same room code as the internal library system.</t>
  </si>
  <si>
    <t>W0 Table 4 note (floor plan is a fixed asset built once by the project team)</t>
  </si>
  <si>
    <t>FR-01-04-FE</t>
  </si>
  <si>
    <t>Asset: draw the digital floor plan of each floor and tag every room with its room code</t>
  </si>
  <si>
    <t>Total data-function points</t>
  </si>
  <si>
    <t>FR-01-05</t>
  </si>
  <si>
    <t>Check room codes against the internal system</t>
  </si>
  <si>
    <t>WHEN a sync run finishes, the system SHALL report every room code on the floor plan that has no matching room code in the synced layout, and every synced room code that has no room on the floor plan.</t>
  </si>
  <si>
    <t>Derived: W0 Table 4 note (floor plan room codes must match the internal system)</t>
  </si>
  <si>
    <t>FR-01-05-BE</t>
  </si>
  <si>
    <t>Job: compare synced room codes with floor plan room codes and report mismatches</t>
  </si>
  <si>
    <t>FR-02-01</t>
  </si>
  <si>
    <t>Write a book review</t>
  </si>
  <si>
    <t>WHEN a signed-in reader submits a review text for a book, the system SHALL save it against that book and that reader.</t>
  </si>
  <si>
    <t>UC:UC-04; DFD L0: Book review (ILF)</t>
  </si>
  <si>
    <t>FR-02-01-FE</t>
  </si>
  <si>
    <t>Screen: review form</t>
  </si>
  <si>
    <t>FR-02-01-BE</t>
  </si>
  <si>
    <t>API: validate and save review</t>
  </si>
  <si>
    <t>FR-02-02</t>
  </si>
  <si>
    <t>WHEN a reader opens the reviews of a book, the system SHALL display the list of reviews for that book.</t>
  </si>
  <si>
    <t>UC:UC-05; DFD L0: Book review (ILF)</t>
  </si>
  <si>
    <t>FR-02-02-FE</t>
  </si>
  <si>
    <t>Screen: paged review list</t>
  </si>
  <si>
    <t>FR-02-02-BE</t>
  </si>
  <si>
    <t>API: list reviews with pagination</t>
  </si>
  <si>
    <t>FR-02-03</t>
  </si>
  <si>
    <t>Edit own review</t>
  </si>
  <si>
    <t>WHEN a signed-in reader submits an edited text for their own review, the system SHALL replace the review text and keep the review linked to the same book.</t>
  </si>
  <si>
    <t>UC:UC-04 (extension: edit own review, team decision); DFD L0: Book review (ILF)</t>
  </si>
  <si>
    <t>Could</t>
  </si>
  <si>
    <t>FR-02-03-FE</t>
  </si>
  <si>
    <t>Screen: edit action on own review</t>
  </si>
  <si>
    <t>FR-02-03-BE</t>
  </si>
  <si>
    <t>API: update own review</t>
  </si>
  <si>
    <t>FR-02-04</t>
  </si>
  <si>
    <t>Delete own review</t>
  </si>
  <si>
    <t>WHEN a signed-in reader confirms the deletion of their own review, the system SHALL remove that review from public display.</t>
  </si>
  <si>
    <t>UC:UC-04 (extension: delete own review, team decision); DFD L0: Book review (ILF)</t>
  </si>
  <si>
    <t>FR-02-04-FE</t>
  </si>
  <si>
    <t>Screen: delete action with confirmation on own review</t>
  </si>
  <si>
    <t>FR-02-04-BE</t>
  </si>
  <si>
    <t>API: remove own review from public display</t>
  </si>
  <si>
    <t>W2 — Roll-up and threshold check</t>
  </si>
  <si>
    <t>FR-02-05</t>
  </si>
  <si>
    <t>Open book information and reviews via QR code</t>
  </si>
  <si>
    <t>WHEN a reader scans the QR code on a physical book, the system SHALL open the information and review page of that book.</t>
  </si>
  <si>
    <t>UC:UC-06; DFD L0: Book QR codes (ILF)</t>
  </si>
  <si>
    <t>FR-02-05-FE</t>
  </si>
  <si>
    <t>Screen: mobile landing page for a scanned QR code</t>
  </si>
  <si>
    <t>W2_Costing, which reads W1 and W4. Nothing is typed here except the three shared observations at the bottom.</t>
  </si>
  <si>
    <t>W4 — Repair and prioritise</t>
  </si>
  <si>
    <t>Per-feature totals, the three headline figures for Session 8, and a pass/fail on every threshold — shown twice: as first written in W1, and after the W4 decisions.</t>
  </si>
  <si>
    <t>1. The integrator merges the branches and commits.
2. Recalculate. Fix nothing yet.
3. Just observe and assess whether the cost analysis is good enough</t>
  </si>
  <si>
    <t>Per feature (using the effective priority, i.e. after W4)</t>
  </si>
  <si>
    <t>Name</t>
  </si>
  <si>
    <t>L2</t>
  </si>
  <si>
    <t>L3</t>
  </si>
  <si>
    <t>Base h (in use)</t>
  </si>
  <si>
    <t>Must (p-h)</t>
  </si>
  <si>
    <t>Won't</t>
  </si>
  <si>
    <t>In-scope p-h</t>
  </si>
  <si>
    <t>In-scope cost</t>
  </si>
  <si>
    <t>FR-02-05-BE</t>
  </si>
  <si>
    <t>Must %</t>
  </si>
  <si>
    <t>Initial priority from W1, the defect log from W3, and the team capacity from Parameters.</t>
  </si>
  <si>
    <t>Bottom-up h</t>
  </si>
  <si>
    <t>Transactional FP</t>
  </si>
  <si>
    <t>API: resolve QR code to book</t>
  </si>
  <si>
    <t>Bottom-up h per FP</t>
  </si>
  <si>
    <t>An effective priority for every L2 function, each change carrying the rule it followed and a written justification. The effective priority flows back into W2_Costing and re-drives every total.</t>
  </si>
  <si>
    <t>1. Sort every W3 defect into one of three buckets: Fix now / Clarify / Reject. Rejecting is allowed, but the reason must be written down.
2. Repair STRUCTURE first: merge duplicates, add clock-triggered functions, add missing hidden work, split rows above the ceiling.
3. Recalculate and read the new numbers.
4. CUT: first move rows out to Won't-have, then demote Must -&gt; Should -&gt; Could. One sentence of justification per change.
5. Recalculate and confirm every threshold passes.</t>
  </si>
  <si>
    <t>THE RULE ON THE BOARD</t>
  </si>
  <si>
    <t>Cut by lowering priority, NEVER by lowering effort. Effort changes only when the technical scope of the row genuinely changes, and what was dropped must be written down.</t>
  </si>
  <si>
    <t>Decision rules — every priority change must name the rule it followed</t>
  </si>
  <si>
    <t>Rule</t>
  </si>
  <si>
    <t>MoSCoW meaning</t>
  </si>
  <si>
    <t>Test question</t>
  </si>
  <si>
    <t>Kano category that usually maps here</t>
  </si>
  <si>
    <t>R1 · Must</t>
  </si>
  <si>
    <t>The release has no viable use without it</t>
  </si>
  <si>
    <t>If it is absent on delivery day, is the release unusable?</t>
  </si>
  <si>
    <t>Must-be — invisible when present, fatal when absent</t>
  </si>
  <si>
    <t>R2 · Should</t>
  </si>
  <si>
    <t>Important, but a workaround exists</t>
  </si>
  <si>
    <t>Painful to leave out, yet the solution still works?</t>
  </si>
  <si>
    <t>One-dimensional — more of it, more satisfaction</t>
  </si>
  <si>
    <t>FR-02-06</t>
  </si>
  <si>
    <t>Count QR code scans</t>
  </si>
  <si>
    <t>WHEN a QR code is scanned, the system SHALL increase the scan count of that QR code by one.</t>
  </si>
  <si>
    <t>UC:UC-06; DFD L0: Book QR codes (ILF), scan counts</t>
  </si>
  <si>
    <t>R3 · Could</t>
  </si>
  <si>
    <t>Desirable, low impact if dropped</t>
  </si>
  <si>
    <t>Would anyone notice within the first month?</t>
  </si>
  <si>
    <t>FR-02-06-BE</t>
  </si>
  <si>
    <t>Increase the scan counter on each QR code resolve</t>
  </si>
  <si>
    <t>Attractive — a delighter, never a Must</t>
  </si>
  <si>
    <t>R4 · Won't</t>
  </si>
  <si>
    <t>Agreed as out of scope for this release</t>
  </si>
  <si>
    <t>Did the client accept deferring it, and is it in W0 Table 3?</t>
  </si>
  <si>
    <t>Indifferent — asked for, but nobody actually cares</t>
  </si>
  <si>
    <t>Rule applied</t>
  </si>
  <si>
    <t>Kano category</t>
  </si>
  <si>
    <t>New priority</t>
  </si>
  <si>
    <t>Effective priority</t>
  </si>
  <si>
    <t>Justification (required if changed)</t>
  </si>
  <si>
    <t>Person-hours</t>
  </si>
  <si>
    <t>Cost (VND)</t>
  </si>
  <si>
    <t>FR-02-07</t>
  </si>
  <si>
    <t>Generate QR codes for new physical books</t>
  </si>
  <si>
    <t>WHEN a new physical book appears in the synced catalogue, the system SHALL generate a unique QR code linked to that book.</t>
  </si>
  <si>
    <t>UC:UC-10; DFD L0: Book QR codes (ILF); W0 Table 3 (no QR code for online-only books)</t>
  </si>
  <si>
    <t>FR-02-07-BE</t>
  </si>
  <si>
    <t>Job: generate and store a unique QR code for each new physical book</t>
  </si>
  <si>
    <t>W5 — Baseline and handover</t>
  </si>
  <si>
    <t>The three headline figures from W2_Rollup and the assumption set from Parameters.</t>
  </si>
  <si>
    <t>Git tag fl-v1.0, business-case.md (three figures plus assumptions), tasks.md seeded risk-first, and one consolidated open-questions table.</t>
  </si>
  <si>
    <t>FR-02-08</t>
  </si>
  <si>
    <t>Print QR code labels</t>
  </si>
  <si>
    <t>WHEN signed-in On-site Staff select books and choose Print labels, the system SHALL produce a printable sheet of QR code labels for the selected books.</t>
  </si>
  <si>
    <t>UC:UC-10</t>
  </si>
  <si>
    <t>FR-02-08-FE</t>
  </si>
  <si>
    <t>1. The commit message records that all thresholds pass.
2. Fill sections 1 and 2 below; export them as business-case.md.
3. In section 3, filter Effective priority = Must and sort Risk order ascending — that is the order for tasks.md.
4. Complete section 4 and confirm nothing is left dangling.</t>
  </si>
  <si>
    <t>Screen: staff page to select books and preview the label sheet</t>
  </si>
  <si>
    <t>1. Three scenarios</t>
  </si>
  <si>
    <t>Scenario</t>
  </si>
  <si>
    <t>Role in the sensitivity analysis</t>
  </si>
  <si>
    <t>Pessimistic — Must only</t>
  </si>
  <si>
    <t>Lowest investment, lowest benefit</t>
  </si>
  <si>
    <t>Base — Must + Should</t>
  </si>
  <si>
    <t>The client figure; base cash flow for NPV</t>
  </si>
  <si>
    <t>Optimistic — full scope</t>
  </si>
  <si>
    <t>FR-02-08-BE</t>
  </si>
  <si>
    <t>API: build the printable label sheet (PDF)</t>
  </si>
  <si>
    <t>If the Could pool is never consumed</t>
  </si>
  <si>
    <t>The three MoSCoW tiers ARE the three scenarios — no invented plus-or-minus 20%.</t>
  </si>
  <si>
    <t>2. Assumptions</t>
  </si>
  <si>
    <t>Assumption</t>
  </si>
  <si>
    <t>Value</t>
  </si>
  <si>
    <t>Junior rate</t>
  </si>
  <si>
    <t>ITviec 2025-26 salary report</t>
  </si>
  <si>
    <t>Senior rate</t>
  </si>
  <si>
    <t>Expert rate</t>
  </si>
  <si>
    <t>AI leverage — FE / BE / INT</t>
  </si>
  <si>
    <t>FR-02-09</t>
  </si>
  <si>
    <t>Report a review that breaks the rules</t>
  </si>
  <si>
    <t>WHEN a signed-in reader reports a review, the system SHALL save the report against that review.</t>
  </si>
  <si>
    <t>UC:UC-14</t>
  </si>
  <si>
    <t>FR-02-09-FE</t>
  </si>
  <si>
    <t>Screen: Report action on a review</t>
  </si>
  <si>
    <t>Class parameter, recalibrated each cohort</t>
  </si>
  <si>
    <t>Verification factor — precise / vague</t>
  </si>
  <si>
    <t>Class parameter</t>
  </si>
  <si>
    <t>Hours per function point</t>
  </si>
  <si>
    <t>Class parameter — used only for the cross-check</t>
  </si>
  <si>
    <t>Team capacity (person-hours)</t>
  </si>
  <si>
    <t>Money contingency on the Must set</t>
  </si>
  <si>
    <t>Covers estimation error only. Do NOT add 20% on top of the Could pool — same buffer twice.</t>
  </si>
  <si>
    <t>3. tasks.md seed — filter Effective priority = Must, sort Risk order ascending</t>
  </si>
  <si>
    <t>FR-02-09-BE</t>
  </si>
  <si>
    <t>API: save a report against a review</t>
  </si>
  <si>
    <t>Risk order</t>
  </si>
  <si>
    <t>FR-02-10</t>
  </si>
  <si>
    <t>Review and remove reported reviews</t>
  </si>
  <si>
    <t>WHEN signed-in On-site Staff confirm the removal of a review from the reported reviews list, the system SHALL remove that review from public display.</t>
  </si>
  <si>
    <t>UC:UC-13; UC:UC-14</t>
  </si>
  <si>
    <t>FR-02-10-FE</t>
  </si>
  <si>
    <t>Screen: staff list of reported reviews with Remove action and confirmation</t>
  </si>
  <si>
    <t>R3 Could</t>
  </si>
  <si>
    <t>Attractive</t>
  </si>
  <si>
    <t>FR-02-10-BE</t>
  </si>
  <si>
    <t>API: list reported reviews and remove a review from public display</t>
  </si>
  <si>
    <t>Workaround exists: readers still see floor, room and shelf code (FR-01-01) and can browse the map (FR-01-02); the deep link from a book to its highlighted room is a convenience. Nobody would miss it in the first month.</t>
  </si>
  <si>
    <t>FR-03-01</t>
  </si>
  <si>
    <t>View reading history</t>
  </si>
  <si>
    <t>WHEN a signed-in reader opens the reading history page, the system SHALL display the history entries of that reader with their reading status.</t>
  </si>
  <si>
    <t>UC:UC-07; DFD L0: Reading history &amp; preferences (ILF)</t>
  </si>
  <si>
    <t>FR-03-01-FE</t>
  </si>
  <si>
    <t>Screen: reading history list with status</t>
  </si>
  <si>
    <t>FR-03-01-BE</t>
  </si>
  <si>
    <t>API: list history entries of the signed-in reader</t>
  </si>
  <si>
    <t>FR-03-02</t>
  </si>
  <si>
    <t>Add a history entry when an online book is opened or downloaded</t>
  </si>
  <si>
    <t>WHEN a signed-in library card reader opens or downloads an online book from this platform, the system SHALL add that book to the reading history of that reader.</t>
  </si>
  <si>
    <t>UC:UC-07; UC:UC-03</t>
  </si>
  <si>
    <t>FR-03-02-BE</t>
  </si>
  <si>
    <t>Event hook: create a history entry when a signed-in library card reader opens or downloads an online book</t>
  </si>
  <si>
    <t>FR-03-03</t>
  </si>
  <si>
    <t>Add history entries from borrowed physical books</t>
  </si>
  <si>
    <t>WHEN a synced loan record of a library card account shows a borrowed book, the system SHALL add that book to the reading history of that reader.</t>
  </si>
  <si>
    <t>UC:UC-07; DFD L0: Reader loan records (EIF)</t>
  </si>
  <si>
    <t>FR-03-03-BE</t>
  </si>
  <si>
    <t>Job: create history entries from synced loan records (library card accounts only)</t>
  </si>
  <si>
    <t>FR-03-04</t>
  </si>
  <si>
    <t>Mark reading status and progress</t>
  </si>
  <si>
    <t>WHEN a signed-in reader sets a book to Reading or Finished and enters the progress, the system SHALL save the status and progress in the reading history.</t>
  </si>
  <si>
    <t>FR-03-04-FE</t>
  </si>
  <si>
    <t>Screen: status selector and progress input</t>
  </si>
  <si>
    <t>PROJECT TOTAL</t>
  </si>
  <si>
    <t>Columns M-O compare the two sizing methods FEATURE BY FEATURE. Data functions (ILF / EIF) are counted once for the whole product, so column N holds transactional function points only — read column O as a RELATIVE figure. Features should cluster around a similar hours-per-FP ratio; the one sitting far from its siblings is where somebody mis-sized something, or where NC rows are carrying work that function points cannot see.</t>
  </si>
  <si>
    <t>FR-03-04-BE</t>
  </si>
  <si>
    <t>API: update status and progress of a history entry</t>
  </si>
  <si>
    <t>The three headline figures — always say which one you mean</t>
  </si>
  <si>
    <t>Scope</t>
  </si>
  <si>
    <t>Meaning</t>
  </si>
  <si>
    <t>Committed</t>
  </si>
  <si>
    <t>Must only</t>
  </si>
  <si>
    <t>What the team guarantees to deliver — the Minimum Usable SubseT</t>
  </si>
  <si>
    <t>Expected</t>
  </si>
  <si>
    <t>Must + Should</t>
  </si>
  <si>
    <t>The figure given to the client; the base cash flow for Session 8</t>
  </si>
  <si>
    <t>Ceiling</t>
  </si>
  <si>
    <t>Must + Should + Could</t>
  </si>
  <si>
    <t>FR-03-05</t>
  </si>
  <si>
    <t>Set reading preferences</t>
  </si>
  <si>
    <t>WHEN a signed-in reader saves reading preferences, the system SHALL store them in the profile of that reader.</t>
  </si>
  <si>
    <t>UC:UC-07 (preferences part); DFD L0: Reading history &amp; preferences (ILF)</t>
  </si>
  <si>
    <t>If the Could contingency pool is never consumed</t>
  </si>
  <si>
    <t>FR-03-05-FE</t>
  </si>
  <si>
    <t>Screen: reading preferences form</t>
  </si>
  <si>
    <t>Threshold check — as first written (W1) vs after the W4 decisions</t>
  </si>
  <si>
    <t>Indicator</t>
  </si>
  <si>
    <t>As written</t>
  </si>
  <si>
    <t>After W4</t>
  </si>
  <si>
    <t>Threshold</t>
  </si>
  <si>
    <t>Verdict (after W4)</t>
  </si>
  <si>
    <t>Must share of in-scope effort</t>
  </si>
  <si>
    <t>FR-03-05-BE</t>
  </si>
  <si>
    <t>API: save reading preferences</t>
  </si>
  <si>
    <t>Could share (contingency pool)</t>
  </si>
  <si>
    <t>FR-03-06</t>
  </si>
  <si>
    <t>Save a physical book to a personal list</t>
  </si>
  <si>
    <t>WHEN a signed-in reader selects Save on a physical book, the system SHALL add the book to the saved books list of that reader.</t>
  </si>
  <si>
    <t>UC:UC-12; DFD L0: Saved books list (ILF)</t>
  </si>
  <si>
    <t>FR-03-06-FE</t>
  </si>
  <si>
    <t>Screen: Save button on the book detail page</t>
  </si>
  <si>
    <t>In-scope effort vs team capacity (p-h)</t>
  </si>
  <si>
    <t>Hidden technical work, share of effort</t>
  </si>
  <si>
    <t>FR-03-06-BE</t>
  </si>
  <si>
    <t>API: add a book to the saved books list</t>
  </si>
  <si>
    <t>L3 rows above the hour ceiling</t>
  </si>
  <si>
    <t>FR-03-07</t>
  </si>
  <si>
    <t>View saved books with shelf locations</t>
  </si>
  <si>
    <t>WHEN a signed-in reader opens the saved books list, the system SHALL display the saved books with the shelf location of each book.</t>
  </si>
  <si>
    <t>UC:UC-12; DFD L0: Saved books list (ILF), Book placement &amp; library layout (EIF)</t>
  </si>
  <si>
    <t>FR-03-07-FE</t>
  </si>
  <si>
    <t>Screen: saved books list with shelf locations</t>
  </si>
  <si>
    <t>No reader-facing impact: scan counts only feed analysis and AI training, and the AI features are already Could. Dropping it does not block QR access (FR-02-05) or label printing (FR-02-08).</t>
  </si>
  <si>
    <t>Three observations the team carries into W4:</t>
  </si>
  <si>
    <t>FR-03-07-BE</t>
  </si>
  <si>
    <t>API: list saved books joined with placement data</t>
  </si>
  <si>
    <t>FR-03-08</t>
  </si>
  <si>
    <t>Remove a saved book</t>
  </si>
  <si>
    <t>WHEN a signed-in reader selects Remove on a saved book, the system SHALL delete the book from the saved books list of that reader.</t>
  </si>
  <si>
    <t>UC:UC-12 (extension: remove from list, team decision); DFD L0: Saved books list (ILF)</t>
  </si>
  <si>
    <t>FR-03-08-FE</t>
  </si>
  <si>
    <t>Screen: Remove action on the saved books list</t>
  </si>
  <si>
    <t>Risk order puts integrations first: the unknowns must be touched early, not at the end of DBIZ3.</t>
  </si>
  <si>
    <t>4. Open questions still outstanding — paste back into the owning feature's spec.md</t>
  </si>
  <si>
    <t>#</t>
  </si>
  <si>
    <t>[NEEDS CLARIFICATION] question</t>
  </si>
  <si>
    <t>Blocking?</t>
  </si>
  <si>
    <t>Owning feature</t>
  </si>
  <si>
    <t>Default applied</t>
  </si>
  <si>
    <t>[NEEDS CLARIFICATION: how does the platform learn that a reader opened or downloaded an online book - through a link from its book page, or only on the existing OPAC?]</t>
  </si>
  <si>
    <t>Assuming the book page links to the file through a tracked link, so FR-03-02 and FR-03-13 can record the event</t>
  </si>
  <si>
    <t>[NEEDS CLARIFICATION: does the internal library system hold a field that says whether a book is online, physical or both?]</t>
  </si>
  <si>
    <t>Assuming the synced catalogue carries an access format for every book, so FR-03-12 can filter on it</t>
  </si>
  <si>
    <t>[NEEDS CLARIFICATION: will the library tell the team when a room is added, renamed or removed, now that the room-code check (FR-01-05) is only a Should?]</t>
  </si>
  <si>
    <t>Assuming the team compares the room codes by hand before release</t>
  </si>
  <si>
    <t>[NEEDS CLARIFICATION: who watches errors and availability after release now that monitoring (FR-04-15) is Won't, and does the client need uptime reporting?]</t>
  </si>
  <si>
    <t>Assuming the team checks the system by hand in release 1</t>
  </si>
  <si>
    <t>FR-03-08-BE</t>
  </si>
  <si>
    <t>API: remove a book from the saved books list</t>
  </si>
  <si>
    <t>[NEEDS CLARIFICATION: does the anonymous read log (FR-03-13) need a privacy notice or a retention period?]</t>
  </si>
  <si>
    <t>Assuming only the book ID and the time are stored, with no reader identity</t>
  </si>
  <si>
    <t>[NEEDS CLARIFICATION: does the 240 h team capacity cover Must + Should only, or also the Could pool?]</t>
  </si>
  <si>
    <t>All</t>
  </si>
  <si>
    <t>Assuming Must + Should must fit in 240 h; the Could pool is optional</t>
  </si>
  <si>
    <t>FR-03-09</t>
  </si>
  <si>
    <t>Search books by chatting with the AI chatbot</t>
  </si>
  <si>
    <t>WHEN a signed-in reader sends a message to the chatbot, the system SHALL reply with a list of catalogue books that match the request in the message.</t>
  </si>
  <si>
    <t>UC:UC-08; DFD L0: Chatbot conversations (ILF)</t>
  </si>
  <si>
    <t>FR-03-09-FE</t>
  </si>
  <si>
    <t>Screen: chat window with book result cards</t>
  </si>
  <si>
    <t>FR-03-09-BE</t>
  </si>
  <si>
    <t>API: handle chat message, query the catalogue, build the reply</t>
  </si>
  <si>
    <t>FR-03-09-INT</t>
  </si>
  <si>
    <t>Call the AI service inside the Library Core System with the reader message and context</t>
  </si>
  <si>
    <t>FR-03-10</t>
  </si>
  <si>
    <t>Save chatbot conversations per reader</t>
  </si>
  <si>
    <t>WHEN the chatbot exchanges a message with a signed-in reader, the system SHALL save the message in the conversation history of that reader.</t>
  </si>
  <si>
    <t>FR-03-10-BE</t>
  </si>
  <si>
    <t>Persist chat messages per reader</t>
  </si>
  <si>
    <t>FR-03-11</t>
  </si>
  <si>
    <t>Recommend books automatically</t>
  </si>
  <si>
    <t>WHEN a signed-in reader opens the recommendations section, the system SHALL display a list of recommended books based on the reading history, preferences and chatbot conversations of that reader.</t>
  </si>
  <si>
    <t>UC:UC-09</t>
  </si>
  <si>
    <t>FR-03-11-FE</t>
  </si>
  <si>
    <t>Screen: recommendation list</t>
  </si>
  <si>
    <t>FR-03-11-BE</t>
  </si>
  <si>
    <t>Recommendation logic using history, preferences and chat data</t>
  </si>
  <si>
    <t>FR-03-12</t>
  </si>
  <si>
    <t>Filter books by access format</t>
  </si>
  <si>
    <t>WHEN a reader selects an access format filter, the system SHALL display only the books available in the selected format.</t>
  </si>
  <si>
    <t>UC:UC-03; W0 Table 3 (filter is added by this platform; OPAC advanced filter has no format option)</t>
  </si>
  <si>
    <t>FR-03-12-FE</t>
  </si>
  <si>
    <t>Screen: access format filter on the advanced filter panel</t>
  </si>
  <si>
    <t>FR-03-12-BE</t>
  </si>
  <si>
    <t>API: query books by access format</t>
  </si>
  <si>
    <t>FR-03-13</t>
  </si>
  <si>
    <t>Log anonymous online-book reads</t>
  </si>
  <si>
    <t>WHEN any reader opens or downloads an online book from this platform, the system SHALL record the book and the time of the read without any reader identity.</t>
  </si>
  <si>
    <t>UC:UC-03; team decision: anonymous read log kept to train the AI features; W0 Table 4 (Online book read log, ILF)</t>
  </si>
  <si>
    <t>FR-03-13-BE</t>
  </si>
  <si>
    <t>Event hook: store the book ID and time of each online-book read, without reader identity</t>
  </si>
  <si>
    <t>FR-03-14</t>
  </si>
  <si>
    <t>View access formats of a book</t>
  </si>
  <si>
    <t>WHEN a reader opens a book detail page, the system SHALL list the access formats of the book (Physical, Online PDF).</t>
  </si>
  <si>
    <t>UC:UC-03; DFD L0: Book catalogue (EIF)</t>
  </si>
  <si>
    <t>FR-03-14-FE</t>
  </si>
  <si>
    <t>Screen: access format list on the book detail page</t>
  </si>
  <si>
    <t>FR-03-14-BE</t>
  </si>
  <si>
    <t>API: include access formats in book responses</t>
  </si>
  <si>
    <t>FR-03-15</t>
  </si>
  <si>
    <t>Download the PDF of an online book</t>
  </si>
  <si>
    <t>WHEN a signed-in reader selects Download PDF on an online book, the system SHALL deliver the PDF file of that book.</t>
  </si>
  <si>
    <t>UC:UC-03; DFD L0: Book catalogue (PDF files, EIF)</t>
  </si>
  <si>
    <t>FR-03-15-FE</t>
  </si>
  <si>
    <t>Screen: Download PDF button with sign-in prompt</t>
  </si>
  <si>
    <t>FR-03-15-BE</t>
  </si>
  <si>
    <t>API: check reader session and stream the PDF file</t>
  </si>
  <si>
    <t>FR-03-15-INT</t>
  </si>
  <si>
    <t>Fetch the PDF file from the internal library system</t>
  </si>
  <si>
    <t>FR-04-01</t>
  </si>
  <si>
    <t>Sign in with library card and email OTP</t>
  </si>
  <si>
    <t>WHEN a reader submits a valid library card number and the correct OTP sent to the email declared on that card, the system SHALL start a signed-in session for that reader. IF the library card number is not found, or the OTP is incorrect or expired, THEN the system SHALL reject the sign-in and display an error message.</t>
  </si>
  <si>
    <t>UC:UC-11; DFD L0: Reader accounts (EIF)</t>
  </si>
  <si>
    <t>FR-04-01-FE</t>
  </si>
  <si>
    <t>Screen: card number and OTP entry, with error message</t>
  </si>
  <si>
    <t>FR-04-01-BE</t>
  </si>
  <si>
    <t>API: check card, request OTP, verify OTP, create session, reject with error when card not found or OTP wrong or expired</t>
  </si>
  <si>
    <t>FR-04-01-INT</t>
  </si>
  <si>
    <t>Look up the card number and declared email in the internal reader accounts</t>
  </si>
  <si>
    <t>W6 — Cash Flow</t>
  </si>
  <si>
    <t>FR-04-02</t>
  </si>
  <si>
    <t>Register or sign in with email OTP</t>
  </si>
  <si>
    <t>WHEN a visitor submits an email address and the correct OTP, the system SHALL create an online account if none exists for that email and start a signed-in session.</t>
  </si>
  <si>
    <t>UC:UC-11; DFD L0: Online reader accounts (ILF)</t>
  </si>
  <si>
    <t>FR-04-02-FE</t>
  </si>
  <si>
    <t>Screen: email and OTP entry</t>
  </si>
  <si>
    <t>1. Assumptions</t>
  </si>
  <si>
    <t>Unit</t>
  </si>
  <si>
    <t>Discount rate (WACC / hurdle rate)</t>
  </si>
  <si>
    <t>% per year</t>
  </si>
  <si>
    <t>Evaluation horizon</t>
  </si>
  <si>
    <t>years (1 to 5)</t>
  </si>
  <si>
    <t>Annual running cost as % of build cost</t>
  </si>
  <si>
    <t>% of build / year</t>
  </si>
  <si>
    <t>Contingency rate on the Must set</t>
  </si>
  <si>
    <t>FR-04-02-BE</t>
  </si>
  <si>
    <t>API: create account if new, verify OTP, create session</t>
  </si>
  <si>
    <t>% of Must cost</t>
  </si>
  <si>
    <t>Must-set cost (contingency base)</t>
  </si>
  <si>
    <t>VND</t>
  </si>
  <si>
    <t>Steady-state annual benefit by MoSCoW tier</t>
  </si>
  <si>
    <t>Tier</t>
  </si>
  <si>
    <t>x</t>
  </si>
  <si>
    <t>FR-04-03</t>
  </si>
  <si>
    <t>Sign in with Google</t>
  </si>
  <si>
    <t>WHEN a visitor completes the Google sign-in, the system SHALL create an online account if none exists for that Google account and start a signed-in session.</t>
  </si>
  <si>
    <t>Adoption ramp-up</t>
  </si>
  <si>
    <t>FR-04-03-FE</t>
  </si>
  <si>
    <t>Screen: Continue with Google button</t>
  </si>
  <si>
    <t>Year</t>
  </si>
  <si>
    <t>Share of steady-state benefit realised</t>
  </si>
  <si>
    <t>% of steady state</t>
  </si>
  <si>
    <t>Scenario definition and Year-0 investment</t>
  </si>
  <si>
    <t>Scenario (from W5)</t>
  </si>
  <si>
    <t>Must in scope (1/0)</t>
  </si>
  <si>
    <t>Should in scope (1/0)</t>
  </si>
  <si>
    <t>Could in scope (1/0)</t>
  </si>
  <si>
    <t>Build cost (W5)</t>
  </si>
  <si>
    <t>Contingency</t>
  </si>
  <si>
    <t>Year-0 investment</t>
  </si>
  <si>
    <t>Steady-state benefit / year</t>
  </si>
  <si>
    <t>Running cost / year</t>
  </si>
  <si>
    <t>FR-04-03-BE</t>
  </si>
  <si>
    <t>API: verify Google token, create account if new, create session</t>
  </si>
  <si>
    <t>2. Cash flow per scenario (VND)</t>
  </si>
  <si>
    <t>Pessimistic — Must only — Year-0 investment 51,942,000 VND</t>
  </si>
  <si>
    <t>Line item</t>
  </si>
  <si>
    <t>FR-04-03-INT</t>
  </si>
  <si>
    <t>Year 0</t>
  </si>
  <si>
    <t>Integrate Google sign-in (OAuth 2.0)</t>
  </si>
  <si>
    <t>Year 1</t>
  </si>
  <si>
    <t>Year 2</t>
  </si>
  <si>
    <t>Year 3</t>
  </si>
  <si>
    <t>Year 4</t>
  </si>
  <si>
    <t>Year 5</t>
  </si>
  <si>
    <t>Year inside horizon? (1 = yes)</t>
  </si>
  <si>
    <t>flag</t>
  </si>
  <si>
    <t>Benefits</t>
  </si>
  <si>
    <t>Running cost</t>
  </si>
  <si>
    <t>FR-04-04</t>
  </si>
  <si>
    <t>Send and verify email OTP</t>
  </si>
  <si>
    <t>WHEN an OTP is requested for an email address, the system SHALL email a one-time code that expires after 5 minutes and can be used only once.</t>
  </si>
  <si>
    <t>UC:UC-11</t>
  </si>
  <si>
    <t>FR-04-04-BE</t>
  </si>
  <si>
    <t>OTP generation, expiry, single use and attempt limit</t>
  </si>
  <si>
    <t>Investment (build + contingency)</t>
  </si>
  <si>
    <t>R4 Won't</t>
  </si>
  <si>
    <t>Indifferent</t>
  </si>
  <si>
    <t>Not rebuilt: for physical books the current OPAC already shows copies and shelf location, and for online books it already shows a download button. Readers still filter by format (FR-03-12).</t>
  </si>
  <si>
    <t>Net cash flow</t>
  </si>
  <si>
    <t>Cumulative net cash flow</t>
  </si>
  <si>
    <t>Discount factor</t>
  </si>
  <si>
    <t>1/(1+r)^t</t>
  </si>
  <si>
    <t>FR-04-04-INT</t>
  </si>
  <si>
    <t>Integrate an email delivery service</t>
  </si>
  <si>
    <t>PV of net cash flow</t>
  </si>
  <si>
    <t>Cumulative PV</t>
  </si>
  <si>
    <t>Payback(year in which cumulative turns &gt;= 0)</t>
  </si>
  <si>
    <t>years</t>
  </si>
  <si>
    <t>Not rebuilt: the current OPAC already has the PDF download function for online books. No PDF delivery, session check or PDF fetch from the internal system is built on this platform.</t>
  </si>
  <si>
    <t>Base — Must + Should — Year-0 investment 71,462,000 VND</t>
  </si>
  <si>
    <t>FR-04-05</t>
  </si>
  <si>
    <t>Link an online account to a library card</t>
  </si>
  <si>
    <t>WHEN a signed-in online account reader submits a valid library card number and the correct OTP sent to the email declared on that card, the system SHALL attach the card number to the profile of that reader.</t>
  </si>
  <si>
    <t>UC:UC-13; DFD L0: Online reader accounts (ILF), Reader accounts (EIF)</t>
  </si>
  <si>
    <t>FR-04-05-FE</t>
  </si>
  <si>
    <t>Screen: link library card form with OTP entry</t>
  </si>
  <si>
    <t>FR-04-05-BE</t>
  </si>
  <si>
    <t>API: verify card OTP and attach card number to the profile</t>
  </si>
  <si>
    <t>Payback (year in which cumulative turns &gt;= 0)</t>
  </si>
  <si>
    <t>Optimistic — full scope — Year-0 investment 103,002,000 VND</t>
  </si>
  <si>
    <t>FR-04-06</t>
  </si>
  <si>
    <t>Reject linking when both profiles hold data</t>
  </si>
  <si>
    <t>No online reader accounts in release 1: only library card holders sign in (FR-04-01), and online books need no account.</t>
  </si>
  <si>
    <t>IF the library card already belongs to a profile that holds data, THEN the system SHALL reject the link request and display a message that merging profiles is not supported.</t>
  </si>
  <si>
    <t>UC:UC-13; W0 Table 3 (merging two reader profiles is out of scope)</t>
  </si>
  <si>
    <t>FR-04-06-BE</t>
  </si>
  <si>
    <t>Check: reject the link when the card profile already holds data</t>
  </si>
  <si>
    <t>Follows the removal of online accounts: Google sign-in only created online accounts.</t>
  </si>
  <si>
    <t>FR-04-07</t>
  </si>
  <si>
    <t>Sign in On-site Staff with internal library account</t>
  </si>
  <si>
    <t>Library Staff</t>
  </si>
  <si>
    <t>WHEN On-site Staff submit valid internal library account credentials, the system SHALL start a staff session and open the staff page.</t>
  </si>
  <si>
    <t>UC:UC-10; UC:UC-13; DFD L0: Staff accounts (EIF)</t>
  </si>
  <si>
    <t>FR-04-07-FE</t>
  </si>
  <si>
    <t>Screen: staff sign-in and staff page menu</t>
  </si>
  <si>
    <t>3. Results</t>
  </si>
  <si>
    <t>Metric</t>
  </si>
  <si>
    <t>Year-0 investment (VND)</t>
  </si>
  <si>
    <t>FR-04-07-BE</t>
  </si>
  <si>
    <t>API: staff sign-in and staff session</t>
  </si>
  <si>
    <t>Steady-state benefit per year (VND)</t>
  </si>
  <si>
    <t>Total benefits over horizon (VND)</t>
  </si>
  <si>
    <t>Total running cost over horizon (VND)</t>
  </si>
  <si>
    <t>Net cash flow over horizon, undiscounted (VND)</t>
  </si>
  <si>
    <t>FR-04-07-INT</t>
  </si>
  <si>
    <t>Verify staff credentials against the internal library accounts</t>
  </si>
  <si>
    <t>Nothing to link once online accounts are removed.</t>
  </si>
  <si>
    <t>NPV (VND)</t>
  </si>
  <si>
    <t>IRR (% per year)</t>
  </si>
  <si>
    <t>FR-04-08</t>
  </si>
  <si>
    <t>Enforce sign-in and staff access control</t>
  </si>
  <si>
    <t>WHEN a request to a protected reader action or to the staff page has no valid session for the required role, the system SHALL deny the request.</t>
  </si>
  <si>
    <t>W0 Table 1 (Login required: UC-04, UC-07, UC-08, UC-09, UC-12, UC-14; Staff login: UC-10, UC-13)</t>
  </si>
  <si>
    <t>Payback, simple (years)</t>
  </si>
  <si>
    <t>FR-04-08-BE</t>
  </si>
  <si>
    <t>Session validation and role check (RBAC) middleware on protected endpoints</t>
  </si>
  <si>
    <t>Only checked the link in FR-04-05, which is removed.</t>
  </si>
  <si>
    <t>Profitability index (PV of inflows / investment)</t>
  </si>
  <si>
    <t>Decision signal</t>
  </si>
  <si>
    <t>ACCEPT</t>
  </si>
  <si>
    <t>FR-04-09</t>
  </si>
  <si>
    <t>Sync catalogue, shelf placement and library layout</t>
  </si>
  <si>
    <t>WHEN the daily sync time is reached, the system SHALL import the catalogue, the shelf codes, and the floors and rooms from the internal library system without writing back to it.</t>
  </si>
  <si>
    <t>DFD L0: Book catalogue (EIF), Book placement &amp; library layout (EIF)</t>
  </si>
  <si>
    <t>FR-04-09-INT</t>
  </si>
  <si>
    <t>Scheduled import of catalogue, shelf codes, floors and rooms from the internal system</t>
  </si>
  <si>
    <t>FR-04-10</t>
  </si>
  <si>
    <t>Sync loan records</t>
  </si>
  <si>
    <t>WHEN the daily sync time is reached, the system SHALL import the loan records of library card accounts from the internal library system without writing back to it.</t>
  </si>
  <si>
    <t>DFD L0: Reader loan records (EIF)</t>
  </si>
  <si>
    <t>FR-04-10-INT</t>
  </si>
  <si>
    <t>Scheduled import of loan records from the internal system</t>
  </si>
  <si>
    <t>FR-04-11</t>
  </si>
  <si>
    <t>Handle sync failures</t>
  </si>
  <si>
    <t>IF a sync run fails, THEN the system SHALL keep the last successful data, retry up to 3 times and write the error to the audit log.</t>
  </si>
  <si>
    <t>Derived: FR-04-09 and FR-04-10</t>
  </si>
  <si>
    <t>FR-04-11-BE</t>
  </si>
  <si>
    <t>Retry policy and last-good-data fallback for sync jobs</t>
  </si>
  <si>
    <t>FR-04-12</t>
  </si>
  <si>
    <t>Keep an audit log</t>
  </si>
  <si>
    <t>WHEN a sign-in, a label print, a review removal or a sync run happens, the system SHALL write an audit entry with the actor, the action and the time.</t>
  </si>
  <si>
    <t>Derived: F-04 scope (audit log)</t>
  </si>
  <si>
    <t>FR-04-12-BE</t>
  </si>
  <si>
    <t>Audit logging service and storage</t>
  </si>
  <si>
    <t>FR-04-13</t>
  </si>
  <si>
    <t>Deploy automatically</t>
  </si>
  <si>
    <t>WHEN a change is merged to the main branch and the automated tests pass, the system SHALL build it and deploy it to the hosting environment.</t>
  </si>
  <si>
    <t>Derived: F-04 scope (deployment)</t>
  </si>
  <si>
    <t>FR-04-13-BE</t>
  </si>
  <si>
    <t>CI/CD pipeline and environments (staging, production)</t>
  </si>
  <si>
    <t>FR-04-14</t>
  </si>
  <si>
    <t>Run automated tests on every change</t>
  </si>
  <si>
    <t>WHEN a change is pushed to the repository, the system SHALL run the automated unit and integration tests and report the result.</t>
  </si>
  <si>
    <t>Derived: F-04 scope (deployment); hidden technical work</t>
  </si>
  <si>
    <t>FR-04-14-BE</t>
  </si>
  <si>
    <t>Automated test suite for core flows and pipeline test stage</t>
  </si>
  <si>
    <t>FR-04-15</t>
  </si>
  <si>
    <t>Monitor errors and availability</t>
  </si>
  <si>
    <t>WHEN the system raises an unhandled error or a health check fails, the system SHALL record the error with its context and notify the project team.</t>
  </si>
  <si>
    <t>Derived: F-04 scope (operations); hidden technical work</t>
  </si>
  <si>
    <t>FR-04-15-BE</t>
  </si>
  <si>
    <t>Error tracking, health check and alert to the project team</t>
  </si>
  <si>
    <t>Totals</t>
  </si>
  <si>
    <t>Integrity</t>
  </si>
  <si>
    <t>Deferred to fit team capacity: error tracking, health check and alerts are done by hand in release 1. Revisit if the client asks for uptime reporting.</t>
  </si>
  <si>
    <t>Control panel — updates the moment column G changes</t>
  </si>
  <si>
    <t>Current</t>
  </si>
  <si>
    <t>Verdict</t>
  </si>
  <si>
    <t>In-scope effort vs capacity (p-h)</t>
  </si>
  <si>
    <t>Expected cost (Must + Should)</t>
  </si>
  <si>
    <t>The figure given to the client and used for NPV in Session 8</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</si>
</sst>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quot; VND&quot;"/>
    <numFmt numFmtId="165" formatCode="0.0"/>
    <numFmt numFmtId="166" formatCode="0.0%"/>
    <numFmt numFmtId="167" formatCode="&quot;Year &quot;0"/>
    <numFmt numFmtId="168" formatCode="#,##0.0000"/>
  </numFmts>
  <fonts count="27">
    <font>
      <sz val="11.0"/>
      <color theme="1"/>
      <name val="Calibri"/>
      <scheme val="minor"/>
    </font>
    <font>
      <b/>
      <sz val="11.0"/>
      <color rgb="FF1F3864"/>
      <name val="Arial"/>
    </font>
    <font>
      <b/>
      <sz val="14.0"/>
      <color rgb="FF1F3864"/>
      <name val="Arial"/>
    </font>
    <font>
      <sz val="11.0"/>
      <color theme="1"/>
      <name val="Calibri"/>
    </font>
    <font>
      <b/>
      <sz val="9.0"/>
      <color rgb="FF1F3864"/>
      <name val="Arial"/>
    </font>
    <font>
      <sz val="11.0"/>
      <color theme="1"/>
      <name val="Arial"/>
    </font>
    <font>
      <sz val="9.0"/>
      <color theme="1"/>
      <name val="Arial"/>
    </font>
    <font>
      <b/>
      <sz val="9.0"/>
      <color rgb="FFFFFFFF"/>
      <name val="Arial"/>
    </font>
    <font>
      <sz val="10.0"/>
      <color theme="1"/>
      <name val="Arial"/>
    </font>
    <font>
      <sz val="10.0"/>
      <color rgb="FF0000FF"/>
      <name val="Arial"/>
    </font>
    <font>
      <b/>
      <sz val="11.0"/>
      <color rgb="FFFFFFFF"/>
      <name val="Arial"/>
    </font>
    <font>
      <i/>
      <sz val="9.0"/>
      <color rgb="FF595959"/>
      <name val="Arial"/>
    </font>
    <font>
      <sz val="11.0"/>
      <color rgb="FF0000FF"/>
      <name val="Arial"/>
    </font>
    <font>
      <sz val="10.0"/>
      <color rgb="FF008000"/>
      <name val="Arial"/>
    </font>
    <font>
      <b/>
      <sz val="10.0"/>
      <color theme="1"/>
      <name val="Arial"/>
    </font>
    <font>
      <sz val="11.0"/>
      <color rgb="FF008000"/>
      <name val="Arial"/>
    </font>
    <font>
      <b/>
      <sz val="11.0"/>
      <color theme="1"/>
      <name val="Arial"/>
    </font>
    <font/>
    <font>
      <b/>
      <sz val="15.0"/>
      <color rgb="FF1F3864"/>
      <name val="Calibri"/>
    </font>
    <font>
      <sz val="11.0"/>
      <color rgb="FF000000"/>
      <name val="Arial"/>
    </font>
    <font>
      <sz val="9.0"/>
      <color rgb="FF595959"/>
      <name val="Arial"/>
    </font>
    <font>
      <b/>
      <sz val="11.0"/>
      <color rgb="FF000000"/>
      <name val="Arial"/>
    </font>
    <font>
      <b/>
      <sz val="11.0"/>
      <color rgb="FF008000"/>
      <name val="Arial"/>
    </font>
    <font>
      <sz val="11.0"/>
      <color rgb="FF000000"/>
      <name val="Calibri"/>
    </font>
    <font>
      <sz val="11.0"/>
      <color rgb="FFC00000"/>
      <name val="Arial"/>
    </font>
    <font>
      <b/>
      <sz val="11.0"/>
      <color rgb="FFC00000"/>
      <name val="Arial"/>
    </font>
    <font>
      <sz val="11.0"/>
      <color rgb="FFFF0000"/>
      <name val="Arial"/>
    </font>
  </fonts>
  <fills count="12">
    <fill>
      <patternFill patternType="none"/>
    </fill>
    <fill>
      <patternFill patternType="lightGray"/>
    </fill>
    <fill>
      <patternFill patternType="solid">
        <fgColor rgb="FFD9E2F3"/>
        <bgColor rgb="FFD9E2F3"/>
      </patternFill>
    </fill>
    <fill>
      <patternFill patternType="solid">
        <fgColor rgb="FF1F3864"/>
        <bgColor rgb="FF1F3864"/>
      </patternFill>
    </fill>
    <fill>
      <patternFill patternType="solid">
        <fgColor rgb="FFFFF2CC"/>
        <bgColor rgb="FFFFF2CC"/>
      </patternFill>
    </fill>
    <fill>
      <patternFill patternType="solid">
        <fgColor rgb="FFDEEBF7"/>
        <bgColor rgb="FFDEEBF7"/>
      </patternFill>
    </fill>
    <fill>
      <patternFill patternType="solid">
        <fgColor rgb="FFFCE4D6"/>
        <bgColor rgb="FFFCE4D6"/>
      </patternFill>
    </fill>
    <fill>
      <patternFill patternType="solid">
        <fgColor rgb="FFE7E6E6"/>
        <bgColor rgb="FFE7E6E6"/>
      </patternFill>
    </fill>
    <fill>
      <patternFill patternType="solid">
        <fgColor rgb="FFFFFFFF"/>
        <bgColor rgb="FFFFFFFF"/>
      </patternFill>
    </fill>
    <fill>
      <patternFill patternType="solid">
        <fgColor theme="0"/>
        <bgColor theme="0"/>
      </patternFill>
    </fill>
    <fill>
      <patternFill patternType="solid">
        <fgColor rgb="FFD9E1F2"/>
        <bgColor rgb="FFD9E1F2"/>
      </patternFill>
    </fill>
    <fill>
      <patternFill patternType="solid">
        <fgColor rgb="FFE2EFDA"/>
        <bgColor rgb="FFE2EFDA"/>
      </patternFill>
    </fill>
  </fills>
  <borders count="38">
    <border/>
    <border>
      <left/>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rder>
    <border>
      <left style="thin">
        <color rgb="FFFFFFFF"/>
      </left>
    </border>
    <border>
      <right style="thin">
        <color rgb="FFFFFFFF"/>
      </right>
    </border>
    <border>
      <left style="thin">
        <color rgb="FFFFFFFF"/>
      </left>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top/>
      <bottom/>
    </border>
    <border>
      <top/>
      <bottom/>
    </border>
    <border>
      <right/>
      <top/>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top/>
      <bottom style="thin">
        <color rgb="FFBFBFBF"/>
      </bottom>
    </border>
    <border>
      <right style="thin">
        <color rgb="FFBFBFBF"/>
      </right>
      <top/>
      <bottom style="thin">
        <color rgb="FFBFBFBF"/>
      </bottom>
    </border>
    <border>
      <left style="thin">
        <color rgb="FFBFBFBF"/>
      </left>
      <right/>
      <top style="thin">
        <color rgb="FFBFBFBF"/>
      </top>
      <bottom style="thin">
        <color rgb="FFBFBFBF"/>
      </bottom>
    </border>
    <border>
      <left/>
      <top/>
    </border>
    <border>
      <top/>
    </border>
    <border>
      <right/>
      <top/>
    </border>
    <border>
      <left/>
      <bottom/>
    </border>
    <border>
      <bottom/>
    </border>
    <border>
      <right/>
      <bottom/>
    </border>
    <border>
      <left/>
    </border>
    <border>
      <right/>
    </border>
    <border>
      <left style="thin">
        <color rgb="FFBFBFBF"/>
      </left>
      <right style="thin">
        <color rgb="FFBFBFBF"/>
      </right>
      <top style="thin">
        <color rgb="FFBFBFBF"/>
      </top>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shrinkToFit="0" wrapText="1"/>
    </xf>
    <xf borderId="0" fillId="0" fontId="2" numFmtId="0" xfId="0" applyAlignment="1" applyFont="1">
      <alignment shrinkToFit="0" wrapText="1"/>
    </xf>
    <xf borderId="0" fillId="0" fontId="1" numFmtId="0" xfId="0" applyAlignment="1" applyFont="1">
      <alignment horizontal="right" shrinkToFit="0" vertical="top" wrapText="1"/>
    </xf>
    <xf borderId="0" fillId="0" fontId="5" numFmtId="0" xfId="0" applyAlignment="1" applyFont="1">
      <alignment shrinkToFit="0" vertical="top" wrapText="1"/>
    </xf>
    <xf borderId="0" fillId="0" fontId="4" numFmtId="0" xfId="0" applyAlignment="1" applyFont="1">
      <alignment horizontal="right" vertical="top"/>
    </xf>
    <xf borderId="0" fillId="0" fontId="6" numFmtId="0" xfId="0" applyAlignment="1" applyFont="1">
      <alignment shrinkToFit="0" vertical="top" wrapText="1"/>
    </xf>
    <xf borderId="0" fillId="0" fontId="4" numFmtId="0" xfId="0" applyAlignment="1" applyFont="1">
      <alignment horizontal="right" shrinkToFit="0" vertical="top" wrapText="1"/>
    </xf>
    <xf borderId="1" fillId="2" fontId="1" numFmtId="0" xfId="0" applyBorder="1" applyFill="1" applyFont="1"/>
    <xf borderId="1" fillId="2" fontId="3" numFmtId="0" xfId="0" applyBorder="1" applyFill="1" applyFont="1"/>
    <xf borderId="2" fillId="3" fontId="7" numFmtId="0" xfId="0" applyAlignment="1" applyBorder="1" applyFill="1" applyFont="1">
      <alignment horizontal="center" shrinkToFit="0" vertical="center" wrapText="1"/>
    </xf>
    <xf borderId="2" fillId="0" fontId="8" numFmtId="0" xfId="0" applyAlignment="1" applyBorder="1" applyFont="1">
      <alignment shrinkToFit="0" vertical="top" wrapText="1"/>
    </xf>
    <xf borderId="3" fillId="2" fontId="1" numFmtId="0" xfId="0" applyAlignment="1" applyBorder="1" applyFill="1" applyFont="1">
      <alignment shrinkToFit="0" wrapText="1"/>
    </xf>
    <xf borderId="3" fillId="2" fontId="3" numFmtId="0" xfId="0" applyAlignment="1" applyBorder="1" applyFill="1" applyFont="1">
      <alignment shrinkToFit="0" wrapText="1"/>
    </xf>
    <xf borderId="0" fillId="0" fontId="8" numFmtId="0" xfId="0" applyFont="1"/>
    <xf borderId="3" fillId="3" fontId="7" numFmtId="0" xfId="0" applyAlignment="1" applyBorder="1" applyFill="1" applyFont="1">
      <alignment horizontal="center" shrinkToFit="0" vertical="center" wrapText="1"/>
    </xf>
    <xf borderId="2" fillId="4" fontId="9" numFmtId="0" xfId="0" applyBorder="1" applyFill="1" applyFont="1"/>
    <xf borderId="3" fillId="3" fontId="10" numFmtId="0" xfId="0" applyAlignment="1" applyBorder="1" applyFill="1" applyFont="1">
      <alignment horizontal="center" shrinkToFit="0" vertical="center" wrapText="1"/>
    </xf>
    <xf borderId="0" fillId="0" fontId="11" numFmtId="0" xfId="0" applyFont="1"/>
    <xf borderId="3" fillId="4" fontId="12" numFmtId="0" xfId="0" applyAlignment="1" applyBorder="1" applyFill="1" applyFont="1">
      <alignment shrinkToFit="0" vertical="top" wrapText="1"/>
    </xf>
    <xf borderId="3" fillId="4" fontId="9" numFmtId="0" xfId="0" applyAlignment="1" applyBorder="1" applyFill="1" applyFont="1">
      <alignment shrinkToFit="0" vertical="top" wrapText="1"/>
    </xf>
    <xf borderId="0" fillId="0" fontId="9" numFmtId="0" xfId="0" applyFont="1"/>
    <xf borderId="0" fillId="0" fontId="13" numFmtId="0" xfId="0" applyFont="1"/>
    <xf borderId="1" fillId="4" fontId="8" numFmtId="0" xfId="0" applyBorder="1" applyFill="1" applyFont="1"/>
    <xf borderId="1" fillId="5" fontId="8" numFmtId="0" xfId="0" applyBorder="1" applyFill="1" applyFont="1"/>
    <xf borderId="2" fillId="4" fontId="9" numFmtId="164" xfId="0" applyBorder="1" applyFill="1" applyFont="1" applyNumberFormat="1"/>
    <xf borderId="1" fillId="6" fontId="8" numFmtId="0" xfId="0" applyBorder="1" applyFill="1" applyFont="1"/>
    <xf borderId="3" fillId="4" fontId="3" numFmtId="0" xfId="0" applyAlignment="1" applyBorder="1" applyFill="1" applyFont="1">
      <alignment horizontal="left" shrinkToFit="0" vertical="top" wrapText="1"/>
    </xf>
    <xf borderId="3" fillId="4" fontId="12" numFmtId="0" xfId="0" applyAlignment="1" applyBorder="1" applyFill="1" applyFont="1">
      <alignment shrinkToFit="0" wrapText="1"/>
    </xf>
    <xf borderId="0" fillId="0" fontId="14" numFmtId="0" xfId="0" applyFont="1"/>
    <xf borderId="0" fillId="0" fontId="5" numFmtId="0" xfId="0" applyAlignment="1" applyFont="1">
      <alignment shrinkToFit="0" wrapText="1"/>
    </xf>
    <xf borderId="0" fillId="0" fontId="15" numFmtId="0" xfId="0" applyAlignment="1" applyFont="1">
      <alignment shrinkToFit="0" wrapText="1"/>
    </xf>
    <xf borderId="3" fillId="0" fontId="13" numFmtId="0" xfId="0" applyAlignment="1" applyBorder="1" applyFont="1">
      <alignment shrinkToFit="0" vertical="top" wrapText="1"/>
    </xf>
    <xf borderId="0" fillId="0" fontId="10" numFmtId="0" xfId="0" applyAlignment="1" applyFont="1">
      <alignment horizontal="center" shrinkToFit="0" vertical="center" wrapText="1"/>
    </xf>
    <xf borderId="0" fillId="0" fontId="3" numFmtId="0" xfId="0" applyAlignment="1" applyFont="1">
      <alignment horizontal="left" shrinkToFit="0" vertical="top" wrapText="1"/>
    </xf>
    <xf borderId="3" fillId="0" fontId="8" numFmtId="0" xfId="0" applyAlignment="1" applyBorder="1" applyFont="1">
      <alignment shrinkToFit="0" vertical="top" wrapText="1"/>
    </xf>
    <xf borderId="4" fillId="4" fontId="12" numFmtId="0" xfId="0" applyAlignment="1" applyBorder="1" applyFill="1" applyFont="1">
      <alignment shrinkToFit="0" vertical="top" wrapText="1"/>
    </xf>
    <xf borderId="2" fillId="7" fontId="8" numFmtId="0" xfId="0" applyBorder="1" applyFill="1" applyFont="1"/>
    <xf borderId="2" fillId="4" fontId="9" numFmtId="9" xfId="0" applyBorder="1" applyFill="1" applyFont="1" applyNumberFormat="1"/>
    <xf borderId="3" fillId="0" fontId="15" numFmtId="0" xfId="0" applyAlignment="1" applyBorder="1" applyFont="1">
      <alignment horizontal="right" shrinkToFit="0" wrapText="1"/>
    </xf>
    <xf borderId="0" fillId="0" fontId="11" numFmtId="0" xfId="0" applyAlignment="1" applyFont="1">
      <alignment shrinkToFit="0" vertical="top" wrapText="1"/>
    </xf>
    <xf borderId="0" fillId="0" fontId="16" numFmtId="0" xfId="0" applyAlignment="1" applyFont="1">
      <alignment shrinkToFit="0" wrapText="1"/>
    </xf>
    <xf borderId="2" fillId="0" fontId="13" numFmtId="0" xfId="0" applyBorder="1" applyFont="1"/>
    <xf borderId="2" fillId="0" fontId="14" numFmtId="0" xfId="0" applyBorder="1" applyFont="1"/>
    <xf borderId="2" fillId="0" fontId="8" numFmtId="0" xfId="0" applyBorder="1" applyFont="1"/>
    <xf borderId="5" fillId="0" fontId="8" numFmtId="0" xfId="0" applyBorder="1" applyFont="1"/>
    <xf borderId="6" fillId="0" fontId="17" numFmtId="0" xfId="0" applyBorder="1" applyFont="1"/>
    <xf borderId="7" fillId="0" fontId="17" numFmtId="0" xfId="0" applyBorder="1" applyFont="1"/>
    <xf borderId="2" fillId="0" fontId="13" numFmtId="165" xfId="0" applyBorder="1" applyFont="1" applyNumberFormat="1"/>
    <xf borderId="2" fillId="0" fontId="8" numFmtId="165" xfId="0" applyBorder="1" applyFont="1" applyNumberFormat="1"/>
    <xf borderId="2" fillId="0" fontId="13" numFmtId="3" xfId="0" applyBorder="1" applyFont="1" applyNumberFormat="1"/>
    <xf borderId="2" fillId="0" fontId="8" numFmtId="166" xfId="0" applyBorder="1" applyFont="1" applyNumberFormat="1"/>
    <xf borderId="2" fillId="0" fontId="13" numFmtId="0" xfId="0" applyAlignment="1" applyBorder="1" applyFont="1">
      <alignment vertical="top"/>
    </xf>
    <xf borderId="1" fillId="2" fontId="1" numFmtId="0" xfId="0" applyAlignment="1" applyBorder="1" applyFill="1" applyFont="1">
      <alignment shrinkToFit="0" wrapText="1"/>
    </xf>
    <xf borderId="1" fillId="2" fontId="3" numFmtId="0" xfId="0" applyAlignment="1" applyBorder="1" applyFill="1" applyFont="1">
      <alignment shrinkToFit="0" wrapText="1"/>
    </xf>
    <xf borderId="2" fillId="0" fontId="13" numFmtId="0" xfId="0" applyAlignment="1" applyBorder="1" applyFont="1">
      <alignment shrinkToFit="0" vertical="top" wrapText="1"/>
    </xf>
    <xf borderId="2" fillId="0" fontId="14" numFmtId="0" xfId="0" applyAlignment="1" applyBorder="1" applyFont="1">
      <alignment shrinkToFit="0" wrapText="1"/>
    </xf>
    <xf borderId="2" fillId="0" fontId="13" numFmtId="165" xfId="0" applyAlignment="1" applyBorder="1" applyFont="1" applyNumberFormat="1">
      <alignment shrinkToFit="0" wrapText="1"/>
    </xf>
    <xf borderId="2" fillId="0" fontId="13" numFmtId="3" xfId="0" applyAlignment="1" applyBorder="1" applyFont="1" applyNumberFormat="1">
      <alignment shrinkToFit="0" wrapText="1"/>
    </xf>
    <xf borderId="2" fillId="0" fontId="8" numFmtId="0" xfId="0" applyAlignment="1" applyBorder="1" applyFont="1">
      <alignment shrinkToFit="0" wrapText="1"/>
    </xf>
    <xf borderId="2" fillId="4" fontId="9" numFmtId="0" xfId="0" applyAlignment="1" applyBorder="1" applyFill="1" applyFont="1">
      <alignment vertical="top"/>
    </xf>
    <xf borderId="2" fillId="0" fontId="8" numFmtId="0" xfId="0" applyAlignment="1" applyBorder="1" applyFont="1">
      <alignment vertical="top"/>
    </xf>
    <xf borderId="0" fillId="0" fontId="11" numFmtId="0" xfId="0" applyAlignment="1" applyFont="1">
      <alignment shrinkToFit="0" wrapText="1"/>
    </xf>
    <xf borderId="2" fillId="4" fontId="9" numFmtId="0" xfId="0" applyAlignment="1" applyBorder="1" applyFill="1" applyFont="1">
      <alignment shrinkToFit="0" vertical="top" wrapText="1"/>
    </xf>
    <xf borderId="2" fillId="0" fontId="13" numFmtId="165" xfId="0" applyAlignment="1" applyBorder="1" applyFont="1" applyNumberFormat="1">
      <alignment vertical="top"/>
    </xf>
    <xf borderId="2" fillId="0" fontId="13" numFmtId="3" xfId="0" applyAlignment="1" applyBorder="1" applyFont="1" applyNumberFormat="1">
      <alignment vertical="top"/>
    </xf>
    <xf borderId="2" fillId="0" fontId="13" numFmtId="164" xfId="0" applyAlignment="1" applyBorder="1" applyFont="1" applyNumberFormat="1">
      <alignment shrinkToFit="0" wrapText="1"/>
    </xf>
    <xf borderId="2" fillId="0" fontId="11" numFmtId="0" xfId="0" applyAlignment="1" applyBorder="1" applyFont="1">
      <alignment shrinkToFit="0" wrapText="1"/>
    </xf>
    <xf borderId="2" fillId="0" fontId="13" numFmtId="0" xfId="0" applyAlignment="1" applyBorder="1" applyFont="1">
      <alignment shrinkToFit="0" wrapText="1"/>
    </xf>
    <xf borderId="2" fillId="4" fontId="9" numFmtId="9" xfId="0" applyAlignment="1" applyBorder="1" applyFill="1" applyFont="1" applyNumberFormat="1">
      <alignment shrinkToFit="0" wrapText="1"/>
    </xf>
    <xf borderId="2" fillId="7" fontId="3" numFmtId="0" xfId="0" applyBorder="1" applyFill="1" applyFont="1"/>
    <xf borderId="2" fillId="7" fontId="14" numFmtId="0" xfId="0" applyBorder="1" applyFill="1" applyFont="1"/>
    <xf borderId="2" fillId="7" fontId="14" numFmtId="165" xfId="0" applyBorder="1" applyFill="1" applyFont="1" applyNumberFormat="1"/>
    <xf borderId="2" fillId="7" fontId="14" numFmtId="3" xfId="0" applyBorder="1" applyFill="1" applyFont="1" applyNumberFormat="1"/>
    <xf borderId="2" fillId="7" fontId="14" numFmtId="166" xfId="0" applyBorder="1" applyFill="1" applyFont="1" applyNumberFormat="1"/>
    <xf borderId="2" fillId="0" fontId="13" numFmtId="166" xfId="0" applyBorder="1" applyFont="1" applyNumberFormat="1"/>
    <xf borderId="2" fillId="0" fontId="13" numFmtId="9" xfId="0" applyBorder="1" applyFont="1" applyNumberFormat="1"/>
    <xf borderId="5" fillId="4" fontId="9" numFmtId="0" xfId="0" applyBorder="1" applyFill="1" applyFont="1"/>
    <xf borderId="2" fillId="4" fontId="9" numFmtId="0" xfId="0" applyAlignment="1" applyBorder="1" applyFill="1" applyFont="1">
      <alignment shrinkToFit="0" wrapText="1"/>
    </xf>
    <xf borderId="8" fillId="8" fontId="18" numFmtId="0" xfId="0" applyAlignment="1" applyBorder="1" applyFill="1" applyFont="1">
      <alignment vertical="top"/>
    </xf>
    <xf borderId="9" fillId="0" fontId="17" numFmtId="0" xfId="0" applyBorder="1" applyFont="1"/>
    <xf borderId="10" fillId="0" fontId="17" numFmtId="0" xfId="0" applyBorder="1" applyFont="1"/>
    <xf borderId="11" fillId="8" fontId="3" numFmtId="0" xfId="0" applyBorder="1" applyFill="1" applyFont="1"/>
    <xf borderId="1" fillId="8" fontId="3" numFmtId="0" xfId="0" applyBorder="1" applyFill="1" applyFont="1"/>
    <xf borderId="12" fillId="0" fontId="17" numFmtId="0" xfId="0" applyBorder="1" applyFont="1"/>
    <xf borderId="13" fillId="0" fontId="17" numFmtId="0" xfId="0" applyBorder="1" applyFont="1"/>
    <xf borderId="14" fillId="0" fontId="17" numFmtId="0" xfId="0" applyBorder="1" applyFont="1"/>
    <xf borderId="15" fillId="0" fontId="17" numFmtId="0" xfId="0" applyBorder="1" applyFont="1"/>
    <xf borderId="16" fillId="0" fontId="17" numFmtId="0" xfId="0" applyBorder="1" applyFont="1"/>
    <xf borderId="17" fillId="0" fontId="17" numFmtId="0" xfId="0" applyBorder="1" applyFont="1"/>
    <xf borderId="18" fillId="2" fontId="1" numFmtId="0" xfId="0" applyBorder="1" applyFill="1" applyFont="1"/>
    <xf borderId="19" fillId="0" fontId="17" numFmtId="0" xfId="0" applyBorder="1" applyFont="1"/>
    <xf borderId="20" fillId="0" fontId="17" numFmtId="0" xfId="0" applyBorder="1" applyFont="1"/>
    <xf borderId="8" fillId="9" fontId="3" numFmtId="0" xfId="0" applyBorder="1" applyFill="1" applyFont="1"/>
    <xf borderId="1" fillId="3" fontId="7" numFmtId="0" xfId="0" applyAlignment="1" applyBorder="1" applyFill="1" applyFont="1">
      <alignment horizontal="left"/>
    </xf>
    <xf borderId="1" fillId="3" fontId="7" numFmtId="0" xfId="0" applyAlignment="1" applyBorder="1" applyFill="1" applyFont="1">
      <alignment horizontal="center"/>
    </xf>
    <xf borderId="0" fillId="0" fontId="19" numFmtId="0" xfId="0" applyFont="1"/>
    <xf borderId="1" fillId="4" fontId="12" numFmtId="10" xfId="0" applyAlignment="1" applyBorder="1" applyFill="1" applyFont="1" applyNumberFormat="1">
      <alignment horizontal="right"/>
    </xf>
    <xf borderId="0" fillId="0" fontId="20" numFmtId="0" xfId="0" applyFont="1"/>
    <xf borderId="1" fillId="4" fontId="12" numFmtId="0" xfId="0" applyAlignment="1" applyBorder="1" applyFill="1" applyFont="1">
      <alignment horizontal="right"/>
    </xf>
    <xf borderId="0" fillId="0" fontId="15" numFmtId="10" xfId="0" applyAlignment="1" applyFont="1" applyNumberFormat="1">
      <alignment horizontal="right"/>
    </xf>
    <xf borderId="0" fillId="0" fontId="15" numFmtId="3" xfId="0" applyAlignment="1" applyFont="1" applyNumberFormat="1">
      <alignment horizontal="right"/>
    </xf>
    <xf borderId="21" fillId="9" fontId="21" numFmtId="0" xfId="0" applyBorder="1" applyFill="1" applyFont="1"/>
    <xf borderId="22" fillId="0" fontId="17" numFmtId="0" xfId="0" applyBorder="1" applyFont="1"/>
    <xf borderId="23" fillId="0" fontId="17" numFmtId="0" xfId="0" applyBorder="1" applyFont="1"/>
    <xf borderId="24" fillId="9" fontId="21" numFmtId="0" xfId="0" applyBorder="1" applyFill="1" applyFont="1"/>
    <xf borderId="8" fillId="8" fontId="3" numFmtId="0" xfId="0" applyBorder="1" applyFill="1" applyFont="1"/>
    <xf borderId="1" fillId="3" fontId="7" numFmtId="3" xfId="0" applyAlignment="1" applyBorder="1" applyFill="1" applyFont="1" applyNumberFormat="1">
      <alignment horizontal="center"/>
    </xf>
    <xf borderId="0" fillId="0" fontId="21" numFmtId="0" xfId="0" applyFont="1"/>
    <xf borderId="1" fillId="4" fontId="12" numFmtId="3" xfId="0" applyAlignment="1" applyBorder="1" applyFill="1" applyFont="1" applyNumberFormat="1">
      <alignment horizontal="right"/>
    </xf>
    <xf borderId="21" fillId="8" fontId="19" numFmtId="0" xfId="0" applyBorder="1" applyFill="1" applyFont="1"/>
    <xf borderId="1" fillId="3" fontId="7" numFmtId="167" xfId="0" applyAlignment="1" applyBorder="1" applyFill="1" applyFont="1" applyNumberFormat="1">
      <alignment horizontal="center"/>
    </xf>
    <xf borderId="25" fillId="0" fontId="17" numFmtId="0" xfId="0" applyBorder="1" applyFont="1"/>
    <xf borderId="21" fillId="8" fontId="7" numFmtId="0" xfId="0" applyAlignment="1" applyBorder="1" applyFill="1" applyFont="1">
      <alignment horizontal="left"/>
    </xf>
    <xf borderId="0" fillId="0" fontId="22" numFmtId="0" xfId="0" applyFont="1"/>
    <xf borderId="1" fillId="4" fontId="12" numFmtId="3" xfId="0" applyAlignment="1" applyBorder="1" applyFill="1" applyFont="1" applyNumberFormat="1">
      <alignment horizontal="center"/>
    </xf>
    <xf borderId="0" fillId="0" fontId="19" numFmtId="3" xfId="0" applyAlignment="1" applyFont="1" applyNumberFormat="1">
      <alignment horizontal="right"/>
    </xf>
    <xf borderId="0" fillId="0" fontId="21" numFmtId="3" xfId="0" applyAlignment="1" applyFont="1" applyNumberFormat="1">
      <alignment horizontal="right"/>
    </xf>
    <xf borderId="1" fillId="4" fontId="12" numFmtId="0" xfId="0" applyAlignment="1" applyBorder="1" applyFill="1" applyFont="1">
      <alignment horizontal="center"/>
    </xf>
    <xf borderId="8" fillId="8" fontId="1" numFmtId="0" xfId="0" applyBorder="1" applyFill="1" applyFont="1"/>
    <xf borderId="0" fillId="0" fontId="1" numFmtId="0" xfId="0" applyFont="1"/>
    <xf borderId="8" fillId="0" fontId="3" numFmtId="0" xfId="0" applyBorder="1" applyFont="1"/>
    <xf borderId="26" fillId="10" fontId="21" numFmtId="0" xfId="0" applyBorder="1" applyFill="1" applyFont="1"/>
    <xf borderId="27" fillId="0" fontId="17" numFmtId="0" xfId="0" applyBorder="1" applyFont="1"/>
    <xf borderId="1" fillId="10" fontId="23" numFmtId="0" xfId="0" applyBorder="1" applyFill="1" applyFont="1"/>
    <xf borderId="2" fillId="3" fontId="7" numFmtId="0" xfId="0" applyAlignment="1" applyBorder="1" applyFill="1" applyFont="1">
      <alignment horizontal="left"/>
    </xf>
    <xf borderId="2" fillId="3" fontId="7" numFmtId="0" xfId="0" applyAlignment="1" applyBorder="1" applyFill="1" applyFont="1">
      <alignment horizontal="center"/>
    </xf>
    <xf borderId="2" fillId="3" fontId="7" numFmtId="3" xfId="0" applyAlignment="1" applyBorder="1" applyFill="1" applyFont="1" applyNumberFormat="1">
      <alignment horizontal="center"/>
    </xf>
    <xf borderId="28" fillId="3" fontId="7" numFmtId="3" xfId="0" applyAlignment="1" applyBorder="1" applyFill="1" applyFont="1" applyNumberFormat="1">
      <alignment horizontal="center"/>
    </xf>
    <xf borderId="2" fillId="0" fontId="19" numFmtId="0" xfId="0" applyBorder="1" applyFont="1"/>
    <xf borderId="2" fillId="0" fontId="20" numFmtId="0" xfId="0" applyBorder="1" applyFont="1"/>
    <xf borderId="2" fillId="0" fontId="19" numFmtId="0" xfId="0" applyAlignment="1" applyBorder="1" applyFont="1">
      <alignment horizontal="right"/>
    </xf>
    <xf borderId="2" fillId="0" fontId="19" numFmtId="3" xfId="0" applyAlignment="1" applyBorder="1" applyFont="1" applyNumberFormat="1">
      <alignment horizontal="right"/>
    </xf>
    <xf borderId="5" fillId="0" fontId="19" numFmtId="3" xfId="0" applyAlignment="1" applyBorder="1" applyFont="1" applyNumberFormat="1">
      <alignment horizontal="right"/>
    </xf>
    <xf borderId="2" fillId="0" fontId="24" numFmtId="3" xfId="0" applyAlignment="1" applyBorder="1" applyFont="1" applyNumberFormat="1">
      <alignment horizontal="right"/>
    </xf>
    <xf borderId="5" fillId="0" fontId="24" numFmtId="3" xfId="0" applyAlignment="1" applyBorder="1" applyFont="1" applyNumberFormat="1">
      <alignment horizontal="right"/>
    </xf>
    <xf borderId="2" fillId="0" fontId="21" numFmtId="0" xfId="0" applyBorder="1" applyFont="1"/>
    <xf borderId="2" fillId="0" fontId="25" numFmtId="3" xfId="0" applyAlignment="1" applyBorder="1" applyFont="1" applyNumberFormat="1">
      <alignment horizontal="right"/>
    </xf>
    <xf borderId="2" fillId="0" fontId="21" numFmtId="3" xfId="0" applyAlignment="1" applyBorder="1" applyFont="1" applyNumberFormat="1">
      <alignment horizontal="right"/>
    </xf>
    <xf borderId="5" fillId="0" fontId="21" numFmtId="3" xfId="0" applyAlignment="1" applyBorder="1" applyFont="1" applyNumberFormat="1">
      <alignment horizontal="right"/>
    </xf>
    <xf borderId="2" fillId="0" fontId="19" numFmtId="168" xfId="0" applyAlignment="1" applyBorder="1" applyFont="1" applyNumberFormat="1">
      <alignment horizontal="right"/>
    </xf>
    <xf borderId="5" fillId="0" fontId="19" numFmtId="168" xfId="0" applyAlignment="1" applyBorder="1" applyFont="1" applyNumberFormat="1">
      <alignment horizontal="right"/>
    </xf>
    <xf borderId="2" fillId="0" fontId="19" numFmtId="4" xfId="0" applyAlignment="1" applyBorder="1" applyFont="1" applyNumberFormat="1">
      <alignment horizontal="right"/>
    </xf>
    <xf borderId="5" fillId="0" fontId="19" numFmtId="0" xfId="0" applyBorder="1" applyFont="1"/>
    <xf borderId="5" fillId="0" fontId="19" numFmtId="4" xfId="0" applyAlignment="1" applyBorder="1" applyFont="1" applyNumberFormat="1">
      <alignment horizontal="right"/>
    </xf>
    <xf borderId="29" fillId="8" fontId="3" numFmtId="0" xfId="0" applyBorder="1" applyFill="1" applyFont="1"/>
    <xf borderId="30" fillId="0" fontId="17" numFmtId="0" xfId="0" applyBorder="1" applyFont="1"/>
    <xf borderId="31" fillId="0" fontId="17" numFmtId="0" xfId="0" applyBorder="1" applyFont="1"/>
    <xf borderId="32" fillId="0" fontId="17" numFmtId="0" xfId="0" applyBorder="1" applyFont="1"/>
    <xf borderId="33" fillId="0" fontId="17" numFmtId="0" xfId="0" applyBorder="1" applyFont="1"/>
    <xf borderId="34" fillId="0" fontId="17" numFmtId="0" xfId="0" applyBorder="1" applyFont="1"/>
    <xf borderId="2" fillId="3" fontId="7" numFmtId="167" xfId="0" applyAlignment="1" applyBorder="1" applyFill="1" applyFont="1" applyNumberFormat="1">
      <alignment horizontal="center"/>
    </xf>
    <xf borderId="28" fillId="3" fontId="7" numFmtId="167" xfId="0" applyAlignment="1" applyBorder="1" applyFill="1" applyFont="1" applyNumberFormat="1">
      <alignment horizontal="center"/>
    </xf>
    <xf borderId="5" fillId="0" fontId="19" numFmtId="0" xfId="0" applyAlignment="1" applyBorder="1" applyFont="1">
      <alignment horizontal="right"/>
    </xf>
    <xf borderId="2" fillId="0" fontId="26" numFmtId="3" xfId="0" applyAlignment="1" applyBorder="1" applyFont="1" applyNumberFormat="1">
      <alignment horizontal="right"/>
    </xf>
    <xf borderId="5" fillId="0" fontId="26" numFmtId="3" xfId="0" applyAlignment="1" applyBorder="1" applyFont="1" applyNumberFormat="1">
      <alignment horizontal="right"/>
    </xf>
    <xf borderId="0" fillId="0" fontId="25" numFmtId="3" xfId="0" applyFont="1" applyNumberFormat="1"/>
    <xf borderId="28" fillId="3" fontId="7" numFmtId="0" xfId="0" applyAlignment="1" applyBorder="1" applyFill="1" applyFont="1">
      <alignment horizontal="center"/>
    </xf>
    <xf borderId="2" fillId="0" fontId="16" numFmtId="3" xfId="0" applyAlignment="1" applyBorder="1" applyFont="1" applyNumberFormat="1">
      <alignment horizontal="right"/>
    </xf>
    <xf borderId="5" fillId="0" fontId="16" numFmtId="3" xfId="0" applyAlignment="1" applyBorder="1" applyFont="1" applyNumberFormat="1">
      <alignment horizontal="right"/>
    </xf>
    <xf borderId="5" fillId="0" fontId="25" numFmtId="3" xfId="0" applyAlignment="1" applyBorder="1" applyFont="1" applyNumberFormat="1">
      <alignment horizontal="right"/>
    </xf>
    <xf borderId="35" fillId="0" fontId="17" numFmtId="0" xfId="0" applyBorder="1" applyFont="1"/>
    <xf borderId="36" fillId="0" fontId="17" numFmtId="0" xfId="0" applyBorder="1" applyFont="1"/>
    <xf borderId="2" fillId="11" fontId="21" numFmtId="3" xfId="0" applyAlignment="1" applyBorder="1" applyFill="1" applyFont="1" applyNumberFormat="1">
      <alignment horizontal="right"/>
    </xf>
    <xf borderId="2" fillId="11" fontId="25" numFmtId="3" xfId="0" applyAlignment="1" applyBorder="1" applyFill="1" applyFont="1" applyNumberFormat="1">
      <alignment horizontal="right"/>
    </xf>
    <xf borderId="2" fillId="11" fontId="21" numFmtId="10" xfId="0" applyAlignment="1" applyBorder="1" applyFill="1" applyFont="1" applyNumberFormat="1">
      <alignment horizontal="right"/>
    </xf>
    <xf borderId="2" fillId="11" fontId="21" numFmtId="2" xfId="0" applyAlignment="1" applyBorder="1" applyFill="1" applyFont="1" applyNumberFormat="1">
      <alignment horizontal="right"/>
    </xf>
    <xf borderId="2" fillId="0" fontId="19" numFmtId="2" xfId="0" applyAlignment="1" applyBorder="1" applyFont="1" applyNumberFormat="1">
      <alignment horizontal="right"/>
    </xf>
    <xf borderId="37" fillId="0" fontId="21" numFmtId="0" xfId="0" applyBorder="1" applyFont="1"/>
    <xf borderId="37" fillId="0" fontId="21" numFmtId="0" xfId="0" applyAlignment="1" applyBorder="1" applyFont="1">
      <alignment horizontal="right"/>
    </xf>
    <xf borderId="0" fillId="0" fontId="14" numFmtId="0" xfId="0" applyAlignment="1" applyFont="1">
      <alignment shrinkToFit="0" wrapText="1"/>
    </xf>
    <xf borderId="0" fillId="0" fontId="8" numFmtId="0" xfId="0" applyAlignment="1" applyFont="1">
      <alignment shrinkToFit="0" wrapText="1"/>
    </xf>
    <xf borderId="2" fillId="0" fontId="13" numFmtId="164" xfId="0" applyBorder="1" applyFont="1" applyNumberFormat="1"/>
    <xf borderId="2" fillId="0" fontId="3" numFmtId="0" xfId="0" applyBorder="1" applyFont="1"/>
    <xf borderId="2"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24.0"/>
    <col customWidth="1" min="3" max="4" width="40.0"/>
    <col customWidth="1" min="5" max="5" width="30.0"/>
    <col customWidth="1" min="6" max="6" width="18.0"/>
  </cols>
  <sheetData>
    <row r="1" ht="14.25" customHeight="1">
      <c r="A1" s="2" t="s">
        <v>2</v>
      </c>
      <c r="B1" s="3"/>
      <c r="C1" s="3"/>
      <c r="D1" s="3"/>
      <c r="E1" s="3"/>
      <c r="F1" s="3"/>
      <c r="G1" s="3"/>
      <c r="H1" s="3"/>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ht="30.0" customHeight="1">
      <c r="A3" s="8" t="s">
        <v>6</v>
      </c>
      <c r="B3" s="9" t="s">
        <v>7</v>
      </c>
      <c r="G3" s="3"/>
      <c r="H3" s="3"/>
      <c r="I3" s="3"/>
      <c r="J3" s="3"/>
      <c r="K3" s="3"/>
      <c r="L3" s="3"/>
      <c r="M3" s="3"/>
      <c r="N3" s="3"/>
      <c r="O3" s="3"/>
      <c r="P3" s="3"/>
      <c r="Q3" s="3"/>
      <c r="R3" s="3"/>
      <c r="S3" s="3"/>
      <c r="T3" s="3"/>
      <c r="U3" s="3"/>
      <c r="V3" s="3"/>
      <c r="W3" s="3"/>
      <c r="X3" s="3"/>
      <c r="Y3" s="3"/>
      <c r="Z3" s="3"/>
    </row>
    <row r="4" ht="39.75" customHeight="1">
      <c r="A4" s="8" t="s">
        <v>12</v>
      </c>
      <c r="B4" s="9" t="s">
        <v>14</v>
      </c>
      <c r="G4" s="3"/>
      <c r="H4" s="3"/>
      <c r="I4" s="3"/>
      <c r="J4" s="3"/>
      <c r="K4" s="3"/>
      <c r="L4" s="3"/>
      <c r="M4" s="3"/>
      <c r="N4" s="3"/>
      <c r="O4" s="3"/>
      <c r="P4" s="3"/>
      <c r="Q4" s="3"/>
      <c r="R4" s="3"/>
      <c r="S4" s="3"/>
      <c r="T4" s="3"/>
      <c r="U4" s="3"/>
      <c r="V4" s="3"/>
      <c r="W4" s="3"/>
      <c r="X4" s="3"/>
      <c r="Y4" s="3"/>
      <c r="Z4" s="3"/>
    </row>
    <row r="5" ht="30.0" customHeight="1">
      <c r="A5" s="8" t="s">
        <v>20</v>
      </c>
      <c r="B5" s="9" t="s">
        <v>21</v>
      </c>
      <c r="G5" s="3"/>
      <c r="H5" s="3"/>
      <c r="I5" s="3"/>
      <c r="J5" s="3"/>
      <c r="K5" s="3"/>
      <c r="L5" s="3"/>
      <c r="M5" s="3"/>
      <c r="N5" s="3"/>
      <c r="O5" s="3"/>
      <c r="P5" s="3"/>
      <c r="Q5" s="3"/>
      <c r="R5" s="3"/>
      <c r="S5" s="3"/>
      <c r="T5" s="3"/>
      <c r="U5" s="3"/>
      <c r="V5" s="3"/>
      <c r="W5" s="3"/>
      <c r="X5" s="3"/>
      <c r="Y5" s="3"/>
      <c r="Z5" s="3"/>
    </row>
    <row r="6" ht="30.0" customHeight="1">
      <c r="A6" s="8" t="s">
        <v>22</v>
      </c>
      <c r="B6" s="9" t="s">
        <v>23</v>
      </c>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11" t="s">
        <v>25</v>
      </c>
      <c r="B8" s="12"/>
      <c r="C8" s="12"/>
      <c r="D8" s="12"/>
      <c r="E8" s="12"/>
      <c r="F8" s="12"/>
      <c r="G8" s="3"/>
      <c r="H8" s="3"/>
      <c r="I8" s="3"/>
      <c r="J8" s="3"/>
      <c r="K8" s="3"/>
      <c r="L8" s="3"/>
      <c r="M8" s="3"/>
      <c r="N8" s="3"/>
      <c r="O8" s="3"/>
      <c r="P8" s="3"/>
      <c r="Q8" s="3"/>
      <c r="R8" s="3"/>
      <c r="S8" s="3"/>
      <c r="T8" s="3"/>
      <c r="U8" s="3"/>
      <c r="V8" s="3"/>
      <c r="W8" s="3"/>
      <c r="X8" s="3"/>
      <c r="Y8" s="3"/>
      <c r="Z8" s="3"/>
    </row>
    <row r="9" ht="31.5" customHeight="1">
      <c r="A9" s="13" t="s">
        <v>29</v>
      </c>
      <c r="B9" s="13" t="s">
        <v>30</v>
      </c>
      <c r="C9" s="13" t="s">
        <v>31</v>
      </c>
      <c r="D9" s="13" t="s">
        <v>33</v>
      </c>
      <c r="E9" s="13" t="s">
        <v>34</v>
      </c>
      <c r="F9" s="13" t="s">
        <v>35</v>
      </c>
      <c r="G9" s="3"/>
      <c r="H9" s="3"/>
      <c r="I9" s="3"/>
      <c r="J9" s="3"/>
      <c r="K9" s="3"/>
      <c r="L9" s="3"/>
      <c r="M9" s="3"/>
      <c r="N9" s="3"/>
      <c r="O9" s="3"/>
      <c r="P9" s="3"/>
      <c r="Q9" s="3"/>
      <c r="R9" s="3"/>
      <c r="S9" s="3"/>
      <c r="T9" s="3"/>
      <c r="U9" s="3"/>
      <c r="V9" s="3"/>
      <c r="W9" s="3"/>
      <c r="X9" s="3"/>
      <c r="Y9" s="3"/>
      <c r="Z9" s="3"/>
    </row>
    <row r="10" ht="30.0" customHeight="1">
      <c r="A10" s="14" t="s">
        <v>37</v>
      </c>
      <c r="B10" s="14" t="s">
        <v>38</v>
      </c>
      <c r="C10" s="14" t="s">
        <v>40</v>
      </c>
      <c r="D10" s="14" t="s">
        <v>41</v>
      </c>
      <c r="E10" s="14" t="s">
        <v>42</v>
      </c>
      <c r="F10" s="14" t="s">
        <v>43</v>
      </c>
      <c r="G10" s="3"/>
      <c r="H10" s="3"/>
      <c r="I10" s="3"/>
      <c r="J10" s="3"/>
      <c r="K10" s="3"/>
      <c r="L10" s="3"/>
      <c r="M10" s="3"/>
      <c r="N10" s="3"/>
      <c r="O10" s="3"/>
      <c r="P10" s="3"/>
      <c r="Q10" s="3"/>
      <c r="R10" s="3"/>
      <c r="S10" s="3"/>
      <c r="T10" s="3"/>
      <c r="U10" s="3"/>
      <c r="V10" s="3"/>
      <c r="W10" s="3"/>
      <c r="X10" s="3"/>
      <c r="Y10" s="3"/>
      <c r="Z10" s="3"/>
    </row>
    <row r="11" ht="30.0" customHeight="1">
      <c r="A11" s="14" t="s">
        <v>47</v>
      </c>
      <c r="B11" s="14" t="s">
        <v>48</v>
      </c>
      <c r="C11" s="14" t="s">
        <v>50</v>
      </c>
      <c r="D11" s="14" t="s">
        <v>51</v>
      </c>
      <c r="E11" s="14" t="s">
        <v>52</v>
      </c>
      <c r="F11" s="14" t="s">
        <v>53</v>
      </c>
      <c r="G11" s="3"/>
      <c r="H11" s="3"/>
      <c r="I11" s="3"/>
      <c r="J11" s="3"/>
      <c r="K11" s="3"/>
      <c r="L11" s="3"/>
      <c r="M11" s="3"/>
      <c r="N11" s="3"/>
      <c r="O11" s="3"/>
      <c r="P11" s="3"/>
      <c r="Q11" s="3"/>
      <c r="R11" s="3"/>
      <c r="S11" s="3"/>
      <c r="T11" s="3"/>
      <c r="U11" s="3"/>
      <c r="V11" s="3"/>
      <c r="W11" s="3"/>
      <c r="X11" s="3"/>
      <c r="Y11" s="3"/>
      <c r="Z11" s="3"/>
    </row>
    <row r="12" ht="30.0" customHeight="1">
      <c r="A12" s="14" t="s">
        <v>56</v>
      </c>
      <c r="B12" s="14" t="s">
        <v>57</v>
      </c>
      <c r="C12" s="14" t="s">
        <v>58</v>
      </c>
      <c r="D12" s="14" t="s">
        <v>59</v>
      </c>
      <c r="E12" s="14" t="s">
        <v>60</v>
      </c>
      <c r="F12" s="14" t="s">
        <v>62</v>
      </c>
      <c r="G12" s="3"/>
      <c r="H12" s="3"/>
      <c r="I12" s="3"/>
      <c r="J12" s="3"/>
      <c r="K12" s="3"/>
      <c r="L12" s="3"/>
      <c r="M12" s="3"/>
      <c r="N12" s="3"/>
      <c r="O12" s="3"/>
      <c r="P12" s="3"/>
      <c r="Q12" s="3"/>
      <c r="R12" s="3"/>
      <c r="S12" s="3"/>
      <c r="T12" s="3"/>
      <c r="U12" s="3"/>
      <c r="V12" s="3"/>
      <c r="W12" s="3"/>
      <c r="X12" s="3"/>
      <c r="Y12" s="3"/>
      <c r="Z12" s="3"/>
    </row>
    <row r="13" ht="30.0" customHeight="1">
      <c r="A13" s="14" t="s">
        <v>80</v>
      </c>
      <c r="B13" s="14" t="s">
        <v>82</v>
      </c>
      <c r="C13" s="14" t="s">
        <v>84</v>
      </c>
      <c r="D13" s="14" t="s">
        <v>87</v>
      </c>
      <c r="E13" s="14" t="s">
        <v>89</v>
      </c>
      <c r="F13" s="14" t="s">
        <v>91</v>
      </c>
      <c r="G13" s="3"/>
      <c r="H13" s="3"/>
      <c r="I13" s="3"/>
      <c r="J13" s="3"/>
      <c r="K13" s="3"/>
      <c r="L13" s="3"/>
      <c r="M13" s="3"/>
      <c r="N13" s="3"/>
      <c r="O13" s="3"/>
      <c r="P13" s="3"/>
      <c r="Q13" s="3"/>
      <c r="R13" s="3"/>
      <c r="S13" s="3"/>
      <c r="T13" s="3"/>
      <c r="U13" s="3"/>
      <c r="V13" s="3"/>
      <c r="W13" s="3"/>
      <c r="X13" s="3"/>
      <c r="Y13" s="3"/>
      <c r="Z13" s="3"/>
    </row>
    <row r="14" ht="30.0" customHeight="1">
      <c r="A14" s="14" t="s">
        <v>109</v>
      </c>
      <c r="B14" s="14" t="s">
        <v>82</v>
      </c>
      <c r="C14" s="14" t="s">
        <v>80</v>
      </c>
      <c r="D14" s="14" t="s">
        <v>110</v>
      </c>
      <c r="E14" s="14" t="s">
        <v>111</v>
      </c>
      <c r="F14" s="14" t="s">
        <v>113</v>
      </c>
      <c r="G14" s="3"/>
      <c r="H14" s="3"/>
      <c r="I14" s="3"/>
      <c r="J14" s="3"/>
      <c r="K14" s="3"/>
      <c r="L14" s="3"/>
      <c r="M14" s="3"/>
      <c r="N14" s="3"/>
      <c r="O14" s="3"/>
      <c r="P14" s="3"/>
      <c r="Q14" s="3"/>
      <c r="R14" s="3"/>
      <c r="S14" s="3"/>
      <c r="T14" s="3"/>
      <c r="U14" s="3"/>
      <c r="V14" s="3"/>
      <c r="W14" s="3"/>
      <c r="X14" s="3"/>
      <c r="Y14" s="3"/>
      <c r="Z14" s="3"/>
    </row>
    <row r="15" ht="30.0" customHeight="1">
      <c r="A15" s="14" t="s">
        <v>121</v>
      </c>
      <c r="B15" s="14" t="s">
        <v>123</v>
      </c>
      <c r="C15" s="14" t="s">
        <v>124</v>
      </c>
      <c r="D15" s="14" t="s">
        <v>125</v>
      </c>
      <c r="E15" s="14" t="s">
        <v>126</v>
      </c>
      <c r="F15" s="14" t="s">
        <v>128</v>
      </c>
      <c r="G15" s="3"/>
      <c r="H15" s="3"/>
      <c r="I15" s="3"/>
      <c r="J15" s="3"/>
      <c r="K15" s="3"/>
      <c r="L15" s="3"/>
      <c r="M15" s="3"/>
      <c r="N15" s="3"/>
      <c r="O15" s="3"/>
      <c r="P15" s="3"/>
      <c r="Q15" s="3"/>
      <c r="R15" s="3"/>
      <c r="S15" s="3"/>
      <c r="T15" s="3"/>
      <c r="U15" s="3"/>
      <c r="V15" s="3"/>
      <c r="W15" s="3"/>
      <c r="X15" s="3"/>
      <c r="Y15" s="3"/>
      <c r="Z15" s="3"/>
    </row>
    <row r="16" ht="30.0" customHeight="1">
      <c r="A16" s="14" t="s">
        <v>135</v>
      </c>
      <c r="B16" s="14" t="s">
        <v>136</v>
      </c>
      <c r="C16" s="14" t="s">
        <v>137</v>
      </c>
      <c r="D16" s="14" t="s">
        <v>138</v>
      </c>
      <c r="E16" s="14" t="s">
        <v>139</v>
      </c>
      <c r="F16" s="14" t="s">
        <v>53</v>
      </c>
      <c r="G16" s="3"/>
      <c r="H16" s="3"/>
      <c r="I16" s="3"/>
      <c r="J16" s="3"/>
      <c r="K16" s="3"/>
      <c r="L16" s="3"/>
      <c r="M16" s="3"/>
      <c r="N16" s="3"/>
      <c r="O16" s="3"/>
      <c r="P16" s="3"/>
      <c r="Q16" s="3"/>
      <c r="R16" s="3"/>
      <c r="S16" s="3"/>
      <c r="T16" s="3"/>
      <c r="U16" s="3"/>
      <c r="V16" s="3"/>
      <c r="W16" s="3"/>
      <c r="X16" s="3"/>
      <c r="Y16" s="3"/>
      <c r="Z16" s="3"/>
    </row>
    <row r="17" ht="30.0" customHeight="1">
      <c r="A17" s="14" t="s">
        <v>146</v>
      </c>
      <c r="B17" s="14" t="s">
        <v>147</v>
      </c>
      <c r="C17" s="14" t="s">
        <v>148</v>
      </c>
      <c r="D17" s="14" t="s">
        <v>149</v>
      </c>
      <c r="E17" s="14" t="s">
        <v>150</v>
      </c>
      <c r="F17" s="14" t="s">
        <v>113</v>
      </c>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11" t="s">
        <v>162</v>
      </c>
      <c r="B19" s="12"/>
      <c r="C19" s="12"/>
      <c r="D19" s="12"/>
      <c r="E19" s="12"/>
      <c r="F19" s="12"/>
      <c r="G19" s="3"/>
      <c r="H19" s="3"/>
      <c r="I19" s="3"/>
      <c r="J19" s="3"/>
      <c r="K19" s="3"/>
      <c r="L19" s="3"/>
      <c r="M19" s="3"/>
      <c r="N19" s="3"/>
      <c r="O19" s="3"/>
      <c r="P19" s="3"/>
      <c r="Q19" s="3"/>
      <c r="R19" s="3"/>
      <c r="S19" s="3"/>
      <c r="T19" s="3"/>
      <c r="U19" s="3"/>
      <c r="V19" s="3"/>
      <c r="W19" s="3"/>
      <c r="X19" s="3"/>
      <c r="Y19" s="3"/>
      <c r="Z19" s="3"/>
    </row>
    <row r="20" ht="14.25" customHeight="1">
      <c r="A20" s="24" t="s">
        <v>165</v>
      </c>
      <c r="B20" s="17" t="s">
        <v>170</v>
      </c>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17" t="s">
        <v>172</v>
      </c>
      <c r="B21" s="17" t="s">
        <v>174</v>
      </c>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25" t="s">
        <v>177</v>
      </c>
      <c r="B22" s="17" t="s">
        <v>178</v>
      </c>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26" t="s">
        <v>189</v>
      </c>
      <c r="B23" s="17" t="s">
        <v>190</v>
      </c>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27" t="s">
        <v>200</v>
      </c>
      <c r="B24" s="17" t="s">
        <v>204</v>
      </c>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29" t="s">
        <v>209</v>
      </c>
      <c r="B25" s="17" t="s">
        <v>210</v>
      </c>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11" t="s">
        <v>212</v>
      </c>
      <c r="B27" s="12"/>
      <c r="C27" s="12"/>
      <c r="D27" s="12"/>
      <c r="E27" s="12"/>
      <c r="F27" s="12"/>
      <c r="G27" s="3"/>
      <c r="H27" s="3"/>
      <c r="I27" s="3"/>
      <c r="J27" s="3"/>
      <c r="K27" s="3"/>
      <c r="L27" s="3"/>
      <c r="M27" s="3"/>
      <c r="N27" s="3"/>
      <c r="O27" s="3"/>
      <c r="P27" s="3"/>
      <c r="Q27" s="3"/>
      <c r="R27" s="3"/>
      <c r="S27" s="3"/>
      <c r="T27" s="3"/>
      <c r="U27" s="3"/>
      <c r="V27" s="3"/>
      <c r="W27" s="3"/>
      <c r="X27" s="3"/>
      <c r="Y27" s="3"/>
      <c r="Z27" s="3"/>
    </row>
    <row r="28" ht="14.25" customHeight="1">
      <c r="A28" s="32" t="s">
        <v>215</v>
      </c>
      <c r="G28" s="3"/>
      <c r="H28" s="3"/>
      <c r="I28" s="3"/>
      <c r="J28" s="3"/>
      <c r="K28" s="3"/>
      <c r="L28" s="3"/>
      <c r="M28" s="3"/>
      <c r="N28" s="3"/>
      <c r="O28" s="3"/>
      <c r="P28" s="3"/>
      <c r="Q28" s="3"/>
      <c r="R28" s="3"/>
      <c r="S28" s="3"/>
      <c r="T28" s="3"/>
      <c r="U28" s="3"/>
      <c r="V28" s="3"/>
      <c r="W28" s="3"/>
      <c r="X28" s="3"/>
      <c r="Y28" s="3"/>
      <c r="Z28" s="3"/>
    </row>
    <row r="29" ht="14.25" customHeight="1">
      <c r="A29" s="32" t="s">
        <v>217</v>
      </c>
      <c r="G29" s="3"/>
      <c r="H29" s="3"/>
      <c r="I29" s="3"/>
      <c r="J29" s="3"/>
      <c r="K29" s="3"/>
      <c r="L29" s="3"/>
      <c r="M29" s="3"/>
      <c r="N29" s="3"/>
      <c r="O29" s="3"/>
      <c r="P29" s="3"/>
      <c r="Q29" s="3"/>
      <c r="R29" s="3"/>
      <c r="S29" s="3"/>
      <c r="T29" s="3"/>
      <c r="U29" s="3"/>
      <c r="V29" s="3"/>
      <c r="W29" s="3"/>
      <c r="X29" s="3"/>
      <c r="Y29" s="3"/>
      <c r="Z29" s="3"/>
    </row>
    <row r="30" ht="14.25" customHeight="1">
      <c r="A30" s="32" t="s">
        <v>220</v>
      </c>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3:F3"/>
    <mergeCell ref="B4:F4"/>
    <mergeCell ref="B5:F5"/>
    <mergeCell ref="B6:F6"/>
    <mergeCell ref="A28:F28"/>
    <mergeCell ref="A29:F29"/>
    <mergeCell ref="A30:F3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16.0"/>
    <col customWidth="1" min="3" max="3" width="18.0"/>
    <col customWidth="1" min="4" max="4" width="62.0"/>
    <col customWidth="1" min="5" max="6" width="8.71"/>
  </cols>
  <sheetData>
    <row r="1" ht="14.25" customHeight="1">
      <c r="A1" s="2" t="s">
        <v>1</v>
      </c>
      <c r="B1" s="3"/>
      <c r="C1" s="3"/>
      <c r="D1" s="3"/>
      <c r="E1" s="3"/>
      <c r="F1" s="3"/>
      <c r="G1" s="3"/>
      <c r="H1" s="3"/>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ht="24.0" customHeight="1">
      <c r="A3" s="8" t="s">
        <v>4</v>
      </c>
      <c r="B3" s="9" t="s">
        <v>8</v>
      </c>
      <c r="E3" s="3"/>
      <c r="F3" s="3"/>
      <c r="G3" s="3"/>
      <c r="H3" s="3"/>
      <c r="I3" s="3"/>
      <c r="J3" s="3"/>
      <c r="K3" s="3"/>
      <c r="L3" s="3"/>
      <c r="M3" s="3"/>
      <c r="N3" s="3"/>
      <c r="O3" s="3"/>
      <c r="P3" s="3"/>
      <c r="Q3" s="3"/>
      <c r="R3" s="3"/>
      <c r="S3" s="3"/>
      <c r="T3" s="3"/>
      <c r="U3" s="3"/>
      <c r="V3" s="3"/>
      <c r="W3" s="3"/>
      <c r="X3" s="3"/>
      <c r="Y3" s="3"/>
      <c r="Z3" s="3"/>
    </row>
    <row r="4" ht="24.0" customHeight="1">
      <c r="A4" s="8" t="s">
        <v>9</v>
      </c>
      <c r="B4" s="9" t="s">
        <v>15</v>
      </c>
      <c r="E4" s="3"/>
      <c r="F4" s="3"/>
      <c r="G4" s="3"/>
      <c r="H4" s="3"/>
      <c r="I4" s="3"/>
      <c r="J4" s="3"/>
      <c r="K4" s="3"/>
      <c r="L4" s="3"/>
      <c r="M4" s="3"/>
      <c r="N4" s="3"/>
      <c r="O4" s="3"/>
      <c r="P4" s="3"/>
      <c r="Q4" s="3"/>
      <c r="R4" s="3"/>
      <c r="S4" s="3"/>
      <c r="T4" s="3"/>
      <c r="U4" s="3"/>
      <c r="V4" s="3"/>
      <c r="W4" s="3"/>
      <c r="X4" s="3"/>
      <c r="Y4" s="3"/>
      <c r="Z4" s="3"/>
    </row>
    <row r="5" ht="33.75" customHeight="1">
      <c r="A5" s="8" t="s">
        <v>18</v>
      </c>
      <c r="B5" s="9" t="s">
        <v>19</v>
      </c>
      <c r="E5" s="3"/>
      <c r="F5" s="3"/>
      <c r="G5" s="3"/>
      <c r="H5" s="3"/>
      <c r="I5" s="3"/>
      <c r="J5" s="3"/>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4.25" customHeight="1">
      <c r="A7" s="11" t="s">
        <v>24</v>
      </c>
      <c r="B7" s="12"/>
      <c r="C7" s="12"/>
      <c r="D7" s="12"/>
      <c r="E7" s="3"/>
      <c r="F7" s="3"/>
      <c r="G7" s="3"/>
      <c r="H7" s="3"/>
      <c r="I7" s="3"/>
      <c r="J7" s="3"/>
      <c r="K7" s="3"/>
      <c r="L7" s="3"/>
      <c r="M7" s="3"/>
      <c r="N7" s="3"/>
      <c r="O7" s="3"/>
      <c r="P7" s="3"/>
      <c r="Q7" s="3"/>
      <c r="R7" s="3"/>
      <c r="S7" s="3"/>
      <c r="T7" s="3"/>
      <c r="U7" s="3"/>
      <c r="V7" s="3"/>
      <c r="W7" s="3"/>
      <c r="X7" s="3"/>
      <c r="Y7" s="3"/>
      <c r="Z7" s="3"/>
    </row>
    <row r="8" ht="31.5" customHeight="1">
      <c r="A8" s="13" t="s">
        <v>44</v>
      </c>
      <c r="B8" s="13" t="s">
        <v>45</v>
      </c>
      <c r="C8" s="13"/>
      <c r="D8" s="13" t="s">
        <v>46</v>
      </c>
      <c r="E8" s="3"/>
      <c r="F8" s="3"/>
      <c r="G8" s="3"/>
      <c r="H8" s="3"/>
      <c r="I8" s="3"/>
      <c r="J8" s="3"/>
      <c r="K8" s="3"/>
      <c r="L8" s="3"/>
      <c r="M8" s="3"/>
      <c r="N8" s="3"/>
      <c r="O8" s="3"/>
      <c r="P8" s="3"/>
      <c r="Q8" s="3"/>
      <c r="R8" s="3"/>
      <c r="S8" s="3"/>
      <c r="T8" s="3"/>
      <c r="U8" s="3"/>
      <c r="V8" s="3"/>
      <c r="W8" s="3"/>
      <c r="X8" s="3"/>
      <c r="Y8" s="3"/>
      <c r="Z8" s="3"/>
    </row>
    <row r="9" ht="14.25" customHeight="1">
      <c r="A9" s="17" t="s">
        <v>54</v>
      </c>
      <c r="B9" s="19">
        <v>4.0</v>
      </c>
      <c r="C9" s="3"/>
      <c r="D9" s="21" t="s">
        <v>75</v>
      </c>
      <c r="E9" s="3"/>
      <c r="F9" s="3"/>
      <c r="G9" s="3"/>
      <c r="H9" s="3"/>
      <c r="I9" s="3"/>
      <c r="J9" s="3"/>
      <c r="K9" s="3"/>
      <c r="L9" s="3"/>
      <c r="M9" s="3"/>
      <c r="N9" s="3"/>
      <c r="O9" s="3"/>
      <c r="P9" s="3"/>
      <c r="Q9" s="3"/>
      <c r="R9" s="3"/>
      <c r="S9" s="3"/>
      <c r="T9" s="3"/>
      <c r="U9" s="3"/>
      <c r="V9" s="3"/>
      <c r="W9" s="3"/>
      <c r="X9" s="3"/>
      <c r="Y9" s="3"/>
      <c r="Z9" s="3"/>
    </row>
    <row r="10" ht="14.25" customHeight="1">
      <c r="A10" s="17" t="s">
        <v>96</v>
      </c>
      <c r="B10" s="19">
        <v>8.0</v>
      </c>
      <c r="C10" s="3"/>
      <c r="D10" s="21" t="s">
        <v>97</v>
      </c>
      <c r="E10" s="3"/>
      <c r="F10" s="3"/>
      <c r="G10" s="3"/>
      <c r="H10" s="3"/>
      <c r="I10" s="3"/>
      <c r="J10" s="3"/>
      <c r="K10" s="3"/>
      <c r="L10" s="3"/>
      <c r="M10" s="3"/>
      <c r="N10" s="3"/>
      <c r="O10" s="3"/>
      <c r="P10" s="3"/>
      <c r="Q10" s="3"/>
      <c r="R10" s="3"/>
      <c r="S10" s="3"/>
      <c r="T10" s="3"/>
      <c r="U10" s="3"/>
      <c r="V10" s="3"/>
      <c r="W10" s="3"/>
      <c r="X10" s="3"/>
      <c r="Y10" s="3"/>
      <c r="Z10" s="3"/>
    </row>
    <row r="11" ht="14.25" customHeight="1">
      <c r="A11" s="17" t="s">
        <v>107</v>
      </c>
      <c r="B11" s="19">
        <v>16.0</v>
      </c>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11" t="s">
        <v>132</v>
      </c>
      <c r="B13" s="12"/>
      <c r="C13" s="12"/>
      <c r="D13" s="12"/>
      <c r="E13" s="3"/>
      <c r="F13" s="3"/>
      <c r="G13" s="3"/>
      <c r="H13" s="3"/>
      <c r="I13" s="3"/>
      <c r="J13" s="3"/>
      <c r="K13" s="3"/>
      <c r="L13" s="3"/>
      <c r="M13" s="3"/>
      <c r="N13" s="3"/>
      <c r="O13" s="3"/>
      <c r="P13" s="3"/>
      <c r="Q13" s="3"/>
      <c r="R13" s="3"/>
      <c r="S13" s="3"/>
      <c r="T13" s="3"/>
      <c r="U13" s="3"/>
      <c r="V13" s="3"/>
      <c r="W13" s="3"/>
      <c r="X13" s="3"/>
      <c r="Y13" s="3"/>
      <c r="Z13" s="3"/>
    </row>
    <row r="14" ht="31.5" customHeight="1">
      <c r="A14" s="13" t="s">
        <v>76</v>
      </c>
      <c r="B14" s="13" t="s">
        <v>142</v>
      </c>
      <c r="C14" s="13" t="s">
        <v>143</v>
      </c>
      <c r="D14" s="13" t="s">
        <v>46</v>
      </c>
      <c r="E14" s="3"/>
      <c r="F14" s="3"/>
      <c r="G14" s="3"/>
      <c r="H14" s="3"/>
      <c r="I14" s="3"/>
      <c r="J14" s="3"/>
      <c r="K14" s="3"/>
      <c r="L14" s="3"/>
      <c r="M14" s="3"/>
      <c r="N14" s="3"/>
      <c r="O14" s="3"/>
      <c r="P14" s="3"/>
      <c r="Q14" s="3"/>
      <c r="R14" s="3"/>
      <c r="S14" s="3"/>
      <c r="T14" s="3"/>
      <c r="U14" s="3"/>
      <c r="V14" s="3"/>
      <c r="W14" s="3"/>
      <c r="X14" s="3"/>
      <c r="Y14" s="3"/>
      <c r="Z14" s="3"/>
    </row>
    <row r="15" ht="14.25" customHeight="1">
      <c r="A15" s="17" t="s">
        <v>129</v>
      </c>
      <c r="B15" s="19">
        <v>0.35</v>
      </c>
      <c r="C15" s="19" t="s">
        <v>156</v>
      </c>
      <c r="D15" s="21" t="s">
        <v>159</v>
      </c>
      <c r="E15" s="3"/>
      <c r="F15" s="3"/>
      <c r="G15" s="3"/>
      <c r="H15" s="3"/>
      <c r="I15" s="3"/>
      <c r="J15" s="3"/>
      <c r="K15" s="3"/>
      <c r="L15" s="3"/>
      <c r="M15" s="3"/>
      <c r="N15" s="3"/>
      <c r="O15" s="3"/>
      <c r="P15" s="3"/>
      <c r="Q15" s="3"/>
      <c r="R15" s="3"/>
      <c r="S15" s="3"/>
      <c r="T15" s="3"/>
      <c r="U15" s="3"/>
      <c r="V15" s="3"/>
      <c r="W15" s="3"/>
      <c r="X15" s="3"/>
      <c r="Y15" s="3"/>
      <c r="Z15" s="3"/>
    </row>
    <row r="16" ht="14.25" customHeight="1">
      <c r="A16" s="17" t="s">
        <v>168</v>
      </c>
      <c r="B16" s="19">
        <v>0.7</v>
      </c>
      <c r="C16" s="19" t="s">
        <v>169</v>
      </c>
      <c r="D16" s="21" t="s">
        <v>171</v>
      </c>
      <c r="E16" s="3"/>
      <c r="F16" s="3"/>
      <c r="G16" s="3"/>
      <c r="H16" s="3"/>
      <c r="I16" s="3"/>
      <c r="J16" s="3"/>
      <c r="K16" s="3"/>
      <c r="L16" s="3"/>
      <c r="M16" s="3"/>
      <c r="N16" s="3"/>
      <c r="O16" s="3"/>
      <c r="P16" s="3"/>
      <c r="Q16" s="3"/>
      <c r="R16" s="3"/>
      <c r="S16" s="3"/>
      <c r="T16" s="3"/>
      <c r="U16" s="3"/>
      <c r="V16" s="3"/>
      <c r="W16" s="3"/>
      <c r="X16" s="3"/>
      <c r="Y16" s="3"/>
      <c r="Z16" s="3"/>
    </row>
    <row r="17" ht="14.25" customHeight="1">
      <c r="A17" s="17" t="s">
        <v>173</v>
      </c>
      <c r="B17" s="19">
        <v>1.0</v>
      </c>
      <c r="C17" s="19" t="s">
        <v>169</v>
      </c>
      <c r="D17" s="21" t="s">
        <v>175</v>
      </c>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11" t="s">
        <v>186</v>
      </c>
      <c r="B19" s="12"/>
      <c r="C19" s="12"/>
      <c r="D19" s="12"/>
      <c r="E19" s="3"/>
      <c r="F19" s="3"/>
      <c r="G19" s="3"/>
      <c r="H19" s="3"/>
      <c r="I19" s="3"/>
      <c r="J19" s="3"/>
      <c r="K19" s="3"/>
      <c r="L19" s="3"/>
      <c r="M19" s="3"/>
      <c r="N19" s="3"/>
      <c r="O19" s="3"/>
      <c r="P19" s="3"/>
      <c r="Q19" s="3"/>
      <c r="R19" s="3"/>
      <c r="S19" s="3"/>
      <c r="T19" s="3"/>
      <c r="U19" s="3"/>
      <c r="V19" s="3"/>
      <c r="W19" s="3"/>
      <c r="X19" s="3"/>
      <c r="Y19" s="3"/>
      <c r="Z19" s="3"/>
    </row>
    <row r="20" ht="31.5" customHeight="1">
      <c r="A20" s="13" t="s">
        <v>194</v>
      </c>
      <c r="B20" s="13" t="s">
        <v>197</v>
      </c>
      <c r="C20" s="13"/>
      <c r="D20" s="13" t="s">
        <v>198</v>
      </c>
      <c r="E20" s="3"/>
      <c r="F20" s="3"/>
      <c r="G20" s="3"/>
      <c r="H20" s="3"/>
      <c r="I20" s="3"/>
      <c r="J20" s="3"/>
      <c r="K20" s="3"/>
      <c r="L20" s="3"/>
      <c r="M20" s="3"/>
      <c r="N20" s="3"/>
      <c r="O20" s="3"/>
      <c r="P20" s="3"/>
      <c r="Q20" s="3"/>
      <c r="R20" s="3"/>
      <c r="S20" s="3"/>
      <c r="T20" s="3"/>
      <c r="U20" s="3"/>
      <c r="V20" s="3"/>
      <c r="W20" s="3"/>
      <c r="X20" s="3"/>
      <c r="Y20" s="3"/>
      <c r="Z20" s="3"/>
    </row>
    <row r="21" ht="14.25" customHeight="1">
      <c r="A21" s="17" t="s">
        <v>156</v>
      </c>
      <c r="B21" s="28">
        <v>200000.0</v>
      </c>
      <c r="C21" s="3"/>
      <c r="D21" s="21" t="s">
        <v>208</v>
      </c>
      <c r="E21" s="3"/>
      <c r="F21" s="3"/>
      <c r="G21" s="3"/>
      <c r="H21" s="3"/>
      <c r="I21" s="3"/>
      <c r="J21" s="3"/>
      <c r="K21" s="3"/>
      <c r="L21" s="3"/>
      <c r="M21" s="3"/>
      <c r="N21" s="3"/>
      <c r="O21" s="3"/>
      <c r="P21" s="3"/>
      <c r="Q21" s="3"/>
      <c r="R21" s="3"/>
      <c r="S21" s="3"/>
      <c r="T21" s="3"/>
      <c r="U21" s="3"/>
      <c r="V21" s="3"/>
      <c r="W21" s="3"/>
      <c r="X21" s="3"/>
      <c r="Y21" s="3"/>
      <c r="Z21" s="3"/>
    </row>
    <row r="22" ht="14.25" customHeight="1">
      <c r="A22" s="17" t="s">
        <v>169</v>
      </c>
      <c r="B22" s="28">
        <v>300000.0</v>
      </c>
      <c r="C22" s="3"/>
      <c r="D22" s="21" t="s">
        <v>211</v>
      </c>
      <c r="E22" s="3"/>
      <c r="F22" s="3"/>
      <c r="G22" s="3"/>
      <c r="H22" s="3"/>
      <c r="I22" s="3"/>
      <c r="J22" s="3"/>
      <c r="K22" s="3"/>
      <c r="L22" s="3"/>
      <c r="M22" s="3"/>
      <c r="N22" s="3"/>
      <c r="O22" s="3"/>
      <c r="P22" s="3"/>
      <c r="Q22" s="3"/>
      <c r="R22" s="3"/>
      <c r="S22" s="3"/>
      <c r="T22" s="3"/>
      <c r="U22" s="3"/>
      <c r="V22" s="3"/>
      <c r="W22" s="3"/>
      <c r="X22" s="3"/>
      <c r="Y22" s="3"/>
      <c r="Z22" s="3"/>
    </row>
    <row r="23" ht="14.25" customHeight="1">
      <c r="A23" s="17" t="s">
        <v>213</v>
      </c>
      <c r="B23" s="28">
        <v>400000.0</v>
      </c>
      <c r="C23" s="3"/>
      <c r="D23" s="21" t="s">
        <v>214</v>
      </c>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11" t="s">
        <v>216</v>
      </c>
      <c r="B25" s="12"/>
      <c r="C25" s="12"/>
      <c r="D25" s="12"/>
      <c r="E25" s="3"/>
      <c r="F25" s="3"/>
      <c r="G25" s="3"/>
      <c r="H25" s="3"/>
      <c r="I25" s="3"/>
      <c r="J25" s="3"/>
      <c r="K25" s="3"/>
      <c r="L25" s="3"/>
      <c r="M25" s="3"/>
      <c r="N25" s="3"/>
      <c r="O25" s="3"/>
      <c r="P25" s="3"/>
      <c r="Q25" s="3"/>
      <c r="R25" s="3"/>
      <c r="S25" s="3"/>
      <c r="T25" s="3"/>
      <c r="U25" s="3"/>
      <c r="V25" s="3"/>
      <c r="W25" s="3"/>
      <c r="X25" s="3"/>
      <c r="Y25" s="3"/>
      <c r="Z25" s="3"/>
    </row>
    <row r="26" ht="31.5" customHeight="1">
      <c r="A26" s="13" t="s">
        <v>81</v>
      </c>
      <c r="B26" s="13" t="s">
        <v>219</v>
      </c>
      <c r="C26" s="13"/>
      <c r="D26" s="13" t="s">
        <v>46</v>
      </c>
      <c r="E26" s="3"/>
      <c r="F26" s="3"/>
      <c r="G26" s="3"/>
      <c r="H26" s="3"/>
      <c r="I26" s="3"/>
      <c r="J26" s="3"/>
      <c r="K26" s="3"/>
      <c r="L26" s="3"/>
      <c r="M26" s="3"/>
      <c r="N26" s="3"/>
      <c r="O26" s="3"/>
      <c r="P26" s="3"/>
      <c r="Q26" s="3"/>
      <c r="R26" s="3"/>
      <c r="S26" s="3"/>
      <c r="T26" s="3"/>
      <c r="U26" s="3"/>
      <c r="V26" s="3"/>
      <c r="W26" s="3"/>
      <c r="X26" s="3"/>
      <c r="Y26" s="3"/>
      <c r="Z26" s="3"/>
    </row>
    <row r="27" ht="14.25" customHeight="1">
      <c r="A27" s="17" t="s">
        <v>116</v>
      </c>
      <c r="B27" s="19">
        <v>0.15</v>
      </c>
      <c r="C27" s="3"/>
      <c r="D27" s="21" t="s">
        <v>221</v>
      </c>
      <c r="E27" s="3"/>
      <c r="F27" s="3"/>
      <c r="G27" s="3"/>
      <c r="H27" s="3"/>
      <c r="I27" s="3"/>
      <c r="J27" s="3"/>
      <c r="K27" s="3"/>
      <c r="L27" s="3"/>
      <c r="M27" s="3"/>
      <c r="N27" s="3"/>
      <c r="O27" s="3"/>
      <c r="P27" s="3"/>
      <c r="Q27" s="3"/>
      <c r="R27" s="3"/>
      <c r="S27" s="3"/>
      <c r="T27" s="3"/>
      <c r="U27" s="3"/>
      <c r="V27" s="3"/>
      <c r="W27" s="3"/>
      <c r="X27" s="3"/>
      <c r="Y27" s="3"/>
      <c r="Z27" s="3"/>
    </row>
    <row r="28" ht="14.25" customHeight="1">
      <c r="A28" s="17" t="s">
        <v>95</v>
      </c>
      <c r="B28" s="19">
        <v>0.4</v>
      </c>
      <c r="C28" s="3"/>
      <c r="D28" s="21" t="s">
        <v>222</v>
      </c>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11" t="s">
        <v>223</v>
      </c>
      <c r="B30" s="12"/>
      <c r="C30" s="12"/>
      <c r="D30" s="12"/>
      <c r="E30" s="3"/>
      <c r="F30" s="3"/>
      <c r="G30" s="3"/>
      <c r="H30" s="3"/>
      <c r="I30" s="3"/>
      <c r="J30" s="3"/>
      <c r="K30" s="3"/>
      <c r="L30" s="3"/>
      <c r="M30" s="3"/>
      <c r="N30" s="3"/>
      <c r="O30" s="3"/>
      <c r="P30" s="3"/>
      <c r="Q30" s="3"/>
      <c r="R30" s="3"/>
      <c r="S30" s="3"/>
      <c r="T30" s="3"/>
      <c r="U30" s="3"/>
      <c r="V30" s="3"/>
      <c r="W30" s="3"/>
      <c r="X30" s="3"/>
      <c r="Y30" s="3"/>
      <c r="Z30" s="3"/>
    </row>
    <row r="31" ht="31.5" customHeight="1">
      <c r="A31" s="13" t="s">
        <v>71</v>
      </c>
      <c r="B31" s="13" t="s">
        <v>224</v>
      </c>
      <c r="C31" s="13"/>
      <c r="D31" s="13" t="s">
        <v>225</v>
      </c>
      <c r="E31" s="3"/>
      <c r="F31" s="3"/>
      <c r="G31" s="3"/>
      <c r="H31" s="3"/>
      <c r="I31" s="3"/>
      <c r="J31" s="3"/>
      <c r="K31" s="3"/>
      <c r="L31" s="3"/>
      <c r="M31" s="3"/>
      <c r="N31" s="3"/>
      <c r="O31" s="3"/>
      <c r="P31" s="3"/>
      <c r="Q31" s="3"/>
      <c r="R31" s="3"/>
      <c r="S31" s="3"/>
      <c r="T31" s="3"/>
      <c r="U31" s="3"/>
      <c r="V31" s="3"/>
      <c r="W31" s="3"/>
      <c r="X31" s="3"/>
      <c r="Y31" s="3"/>
      <c r="Z31" s="3"/>
    </row>
    <row r="32" ht="14.25" customHeight="1">
      <c r="A32" s="17" t="s">
        <v>227</v>
      </c>
      <c r="B32" s="19">
        <v>4.0</v>
      </c>
      <c r="C32" s="3"/>
      <c r="D32" s="21" t="s">
        <v>228</v>
      </c>
      <c r="E32" s="3"/>
      <c r="F32" s="3"/>
      <c r="G32" s="3"/>
      <c r="H32" s="3"/>
      <c r="I32" s="3"/>
      <c r="J32" s="3"/>
      <c r="K32" s="3"/>
      <c r="L32" s="3"/>
      <c r="M32" s="3"/>
      <c r="N32" s="3"/>
      <c r="O32" s="3"/>
      <c r="P32" s="3"/>
      <c r="Q32" s="3"/>
      <c r="R32" s="3"/>
      <c r="S32" s="3"/>
      <c r="T32" s="3"/>
      <c r="U32" s="3"/>
      <c r="V32" s="3"/>
      <c r="W32" s="3"/>
      <c r="X32" s="3"/>
      <c r="Y32" s="3"/>
      <c r="Z32" s="3"/>
    </row>
    <row r="33" ht="14.25" customHeight="1">
      <c r="A33" s="17" t="s">
        <v>232</v>
      </c>
      <c r="B33" s="19">
        <v>5.0</v>
      </c>
      <c r="C33" s="3"/>
      <c r="D33" s="21" t="s">
        <v>233</v>
      </c>
      <c r="E33" s="3"/>
      <c r="F33" s="3"/>
      <c r="G33" s="3"/>
      <c r="H33" s="3"/>
      <c r="I33" s="3"/>
      <c r="J33" s="3"/>
      <c r="K33" s="3"/>
      <c r="L33" s="3"/>
      <c r="M33" s="3"/>
      <c r="N33" s="3"/>
      <c r="O33" s="3"/>
      <c r="P33" s="3"/>
      <c r="Q33" s="3"/>
      <c r="R33" s="3"/>
      <c r="S33" s="3"/>
      <c r="T33" s="3"/>
      <c r="U33" s="3"/>
      <c r="V33" s="3"/>
      <c r="W33" s="3"/>
      <c r="X33" s="3"/>
      <c r="Y33" s="3"/>
      <c r="Z33" s="3"/>
    </row>
    <row r="34" ht="14.25" customHeight="1">
      <c r="A34" s="17" t="s">
        <v>120</v>
      </c>
      <c r="B34" s="19">
        <v>4.0</v>
      </c>
      <c r="C34" s="3"/>
      <c r="D34" s="21" t="s">
        <v>237</v>
      </c>
      <c r="E34" s="3"/>
      <c r="F34" s="3"/>
      <c r="G34" s="3"/>
      <c r="H34" s="3"/>
      <c r="I34" s="3"/>
      <c r="J34" s="3"/>
      <c r="K34" s="3"/>
      <c r="L34" s="3"/>
      <c r="M34" s="3"/>
      <c r="N34" s="3"/>
      <c r="O34" s="3"/>
      <c r="P34" s="3"/>
      <c r="Q34" s="3"/>
      <c r="R34" s="3"/>
      <c r="S34" s="3"/>
      <c r="T34" s="3"/>
      <c r="U34" s="3"/>
      <c r="V34" s="3"/>
      <c r="W34" s="3"/>
      <c r="X34" s="3"/>
      <c r="Y34" s="3"/>
      <c r="Z34" s="3"/>
    </row>
    <row r="35" ht="14.25" customHeight="1">
      <c r="A35" s="17" t="s">
        <v>241</v>
      </c>
      <c r="B35" s="19">
        <v>10.0</v>
      </c>
      <c r="C35" s="3"/>
      <c r="D35" s="21" t="s">
        <v>242</v>
      </c>
      <c r="E35" s="3"/>
      <c r="F35" s="3"/>
      <c r="G35" s="3"/>
      <c r="H35" s="3"/>
      <c r="I35" s="3"/>
      <c r="J35" s="3"/>
      <c r="K35" s="3"/>
      <c r="L35" s="3"/>
      <c r="M35" s="3"/>
      <c r="N35" s="3"/>
      <c r="O35" s="3"/>
      <c r="P35" s="3"/>
      <c r="Q35" s="3"/>
      <c r="R35" s="3"/>
      <c r="S35" s="3"/>
      <c r="T35" s="3"/>
      <c r="U35" s="3"/>
      <c r="V35" s="3"/>
      <c r="W35" s="3"/>
      <c r="X35" s="3"/>
      <c r="Y35" s="3"/>
      <c r="Z35" s="3"/>
    </row>
    <row r="36" ht="14.25" customHeight="1">
      <c r="A36" s="17" t="s">
        <v>246</v>
      </c>
      <c r="B36" s="19">
        <v>7.0</v>
      </c>
      <c r="C36" s="3"/>
      <c r="D36" s="21" t="s">
        <v>250</v>
      </c>
      <c r="E36" s="3"/>
      <c r="F36" s="3"/>
      <c r="G36" s="3"/>
      <c r="H36" s="3"/>
      <c r="I36" s="3"/>
      <c r="J36" s="3"/>
      <c r="K36" s="3"/>
      <c r="L36" s="3"/>
      <c r="M36" s="3"/>
      <c r="N36" s="3"/>
      <c r="O36" s="3"/>
      <c r="P36" s="3"/>
      <c r="Q36" s="3"/>
      <c r="R36" s="3"/>
      <c r="S36" s="3"/>
      <c r="T36" s="3"/>
      <c r="U36" s="3"/>
      <c r="V36" s="3"/>
      <c r="W36" s="3"/>
      <c r="X36" s="3"/>
      <c r="Y36" s="3"/>
      <c r="Z36" s="3"/>
    </row>
    <row r="37" ht="14.25" customHeight="1">
      <c r="A37" s="17" t="s">
        <v>254</v>
      </c>
      <c r="B37" s="19">
        <v>0.0</v>
      </c>
      <c r="C37" s="3"/>
      <c r="D37" s="21" t="s">
        <v>255</v>
      </c>
      <c r="E37" s="3"/>
      <c r="F37" s="3"/>
      <c r="G37" s="3"/>
      <c r="H37" s="3"/>
      <c r="I37" s="3"/>
      <c r="J37" s="3"/>
      <c r="K37" s="3"/>
      <c r="L37" s="3"/>
      <c r="M37" s="3"/>
      <c r="N37" s="3"/>
      <c r="O37" s="3"/>
      <c r="P37" s="3"/>
      <c r="Q37" s="3"/>
      <c r="R37" s="3"/>
      <c r="S37" s="3"/>
      <c r="T37" s="3"/>
      <c r="U37" s="3"/>
      <c r="V37" s="3"/>
      <c r="W37" s="3"/>
      <c r="X37" s="3"/>
      <c r="Y37" s="3"/>
      <c r="Z37" s="3"/>
    </row>
    <row r="38" ht="14.25" customHeight="1">
      <c r="A38" s="17" t="s">
        <v>259</v>
      </c>
      <c r="B38" s="19">
        <v>3.0</v>
      </c>
      <c r="C38" s="3"/>
      <c r="D38" s="21" t="s">
        <v>263</v>
      </c>
      <c r="E38" s="3"/>
      <c r="F38" s="3"/>
      <c r="G38" s="3"/>
      <c r="H38" s="3"/>
      <c r="I38" s="3"/>
      <c r="J38" s="3"/>
      <c r="K38" s="3"/>
      <c r="L38" s="3"/>
      <c r="M38" s="3"/>
      <c r="N38" s="3"/>
      <c r="O38" s="3"/>
      <c r="P38" s="3"/>
      <c r="Q38" s="3"/>
      <c r="R38" s="3"/>
      <c r="S38" s="3"/>
      <c r="T38" s="3"/>
      <c r="U38" s="3"/>
      <c r="V38" s="3"/>
      <c r="W38" s="3"/>
      <c r="X38" s="3"/>
      <c r="Y38" s="3"/>
      <c r="Z38" s="3"/>
    </row>
    <row r="39" ht="14.25" customHeight="1">
      <c r="A39" s="21"/>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11" t="s">
        <v>274</v>
      </c>
      <c r="B41" s="12"/>
      <c r="C41" s="12"/>
      <c r="D41" s="12"/>
      <c r="E41" s="3"/>
      <c r="F41" s="3"/>
      <c r="G41" s="3"/>
      <c r="H41" s="3"/>
      <c r="I41" s="3"/>
      <c r="J41" s="3"/>
      <c r="K41" s="3"/>
      <c r="L41" s="3"/>
      <c r="M41" s="3"/>
      <c r="N41" s="3"/>
      <c r="O41" s="3"/>
      <c r="P41" s="3"/>
      <c r="Q41" s="3"/>
      <c r="R41" s="3"/>
      <c r="S41" s="3"/>
      <c r="T41" s="3"/>
      <c r="U41" s="3"/>
      <c r="V41" s="3"/>
      <c r="W41" s="3"/>
      <c r="X41" s="3"/>
      <c r="Y41" s="3"/>
      <c r="Z41" s="3"/>
    </row>
    <row r="42" ht="14.25" customHeight="1">
      <c r="A42" s="17" t="s">
        <v>280</v>
      </c>
      <c r="B42" s="19">
        <v>6.0</v>
      </c>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17" t="s">
        <v>282</v>
      </c>
      <c r="B43" s="19">
        <v>12.0</v>
      </c>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17" t="s">
        <v>286</v>
      </c>
      <c r="B44" s="19">
        <v>5.0</v>
      </c>
      <c r="C44" s="3"/>
      <c r="D44" s="21" t="s">
        <v>287</v>
      </c>
      <c r="E44" s="3"/>
      <c r="F44" s="3"/>
      <c r="G44" s="3"/>
      <c r="H44" s="3"/>
      <c r="I44" s="3"/>
      <c r="J44" s="3"/>
      <c r="K44" s="3"/>
      <c r="L44" s="3"/>
      <c r="M44" s="3"/>
      <c r="N44" s="3"/>
      <c r="O44" s="3"/>
      <c r="P44" s="3"/>
      <c r="Q44" s="3"/>
      <c r="R44" s="3"/>
      <c r="S44" s="3"/>
      <c r="T44" s="3"/>
      <c r="U44" s="3"/>
      <c r="V44" s="3"/>
      <c r="W44" s="3"/>
      <c r="X44" s="3"/>
      <c r="Y44" s="3"/>
      <c r="Z44" s="3"/>
    </row>
    <row r="45" ht="14.25" customHeight="1">
      <c r="A45" s="32" t="s">
        <v>293</v>
      </c>
      <c r="B45" s="40">
        <f>B42*B43*B44</f>
        <v>360</v>
      </c>
      <c r="C45" s="3"/>
      <c r="D45" s="21" t="s">
        <v>297</v>
      </c>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11" t="s">
        <v>298</v>
      </c>
      <c r="B47" s="12"/>
      <c r="C47" s="12"/>
      <c r="D47" s="12"/>
      <c r="E47" s="3"/>
      <c r="F47" s="3"/>
      <c r="G47" s="3"/>
      <c r="H47" s="3"/>
      <c r="I47" s="3"/>
      <c r="J47" s="3"/>
      <c r="K47" s="3"/>
      <c r="L47" s="3"/>
      <c r="M47" s="3"/>
      <c r="N47" s="3"/>
      <c r="O47" s="3"/>
      <c r="P47" s="3"/>
      <c r="Q47" s="3"/>
      <c r="R47" s="3"/>
      <c r="S47" s="3"/>
      <c r="T47" s="3"/>
      <c r="U47" s="3"/>
      <c r="V47" s="3"/>
      <c r="W47" s="3"/>
      <c r="X47" s="3"/>
      <c r="Y47" s="3"/>
      <c r="Z47" s="3"/>
    </row>
    <row r="48" ht="14.25" customHeight="1">
      <c r="A48" s="17" t="s">
        <v>299</v>
      </c>
      <c r="B48" s="41">
        <v>0.6</v>
      </c>
      <c r="C48" s="3"/>
      <c r="D48" s="21" t="s">
        <v>300</v>
      </c>
      <c r="E48" s="3"/>
      <c r="F48" s="3"/>
      <c r="G48" s="3"/>
      <c r="H48" s="3"/>
      <c r="I48" s="3"/>
      <c r="J48" s="3"/>
      <c r="K48" s="3"/>
      <c r="L48" s="3"/>
      <c r="M48" s="3"/>
      <c r="N48" s="3"/>
      <c r="O48" s="3"/>
      <c r="P48" s="3"/>
      <c r="Q48" s="3"/>
      <c r="R48" s="3"/>
      <c r="S48" s="3"/>
      <c r="T48" s="3"/>
      <c r="U48" s="3"/>
      <c r="V48" s="3"/>
      <c r="W48" s="3"/>
      <c r="X48" s="3"/>
      <c r="Y48" s="3"/>
      <c r="Z48" s="3"/>
    </row>
    <row r="49" ht="14.25" customHeight="1">
      <c r="A49" s="17" t="s">
        <v>301</v>
      </c>
      <c r="B49" s="41">
        <v>0.2</v>
      </c>
      <c r="C49" s="3"/>
      <c r="D49" s="21" t="s">
        <v>302</v>
      </c>
      <c r="E49" s="3"/>
      <c r="F49" s="3"/>
      <c r="G49" s="3"/>
      <c r="H49" s="3"/>
      <c r="I49" s="3"/>
      <c r="J49" s="3"/>
      <c r="K49" s="3"/>
      <c r="L49" s="3"/>
      <c r="M49" s="3"/>
      <c r="N49" s="3"/>
      <c r="O49" s="3"/>
      <c r="P49" s="3"/>
      <c r="Q49" s="3"/>
      <c r="R49" s="3"/>
      <c r="S49" s="3"/>
      <c r="T49" s="3"/>
      <c r="U49" s="3"/>
      <c r="V49" s="3"/>
      <c r="W49" s="3"/>
      <c r="X49" s="3"/>
      <c r="Y49" s="3"/>
      <c r="Z49" s="3"/>
    </row>
    <row r="50" ht="14.25" customHeight="1">
      <c r="A50" s="17" t="s">
        <v>303</v>
      </c>
      <c r="B50" s="41">
        <v>0.1</v>
      </c>
      <c r="C50" s="3"/>
      <c r="D50" s="21" t="s">
        <v>304</v>
      </c>
      <c r="E50" s="3"/>
      <c r="F50" s="3"/>
      <c r="G50" s="3"/>
      <c r="H50" s="3"/>
      <c r="I50" s="3"/>
      <c r="J50" s="3"/>
      <c r="K50" s="3"/>
      <c r="L50" s="3"/>
      <c r="M50" s="3"/>
      <c r="N50" s="3"/>
      <c r="O50" s="3"/>
      <c r="P50" s="3"/>
      <c r="Q50" s="3"/>
      <c r="R50" s="3"/>
      <c r="S50" s="3"/>
      <c r="T50" s="3"/>
      <c r="U50" s="3"/>
      <c r="V50" s="3"/>
      <c r="W50" s="3"/>
      <c r="X50" s="3"/>
      <c r="Y50" s="3"/>
      <c r="Z50" s="3"/>
    </row>
    <row r="51" ht="14.25" customHeight="1">
      <c r="A51" s="17" t="s">
        <v>305</v>
      </c>
      <c r="B51" s="19">
        <v>16.0</v>
      </c>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17" t="s">
        <v>306</v>
      </c>
      <c r="B52" s="19">
        <v>3.0</v>
      </c>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17" t="s">
        <v>307</v>
      </c>
      <c r="B53" s="19">
        <v>6.0</v>
      </c>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17" t="s">
        <v>308</v>
      </c>
      <c r="B54" s="41">
        <v>0.3</v>
      </c>
      <c r="C54" s="3"/>
      <c r="D54" s="21" t="s">
        <v>309</v>
      </c>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11" t="s">
        <v>310</v>
      </c>
      <c r="B56" s="12"/>
      <c r="C56" s="12"/>
      <c r="D56" s="12"/>
      <c r="E56" s="3"/>
      <c r="F56" s="3"/>
      <c r="G56" s="3"/>
      <c r="H56" s="3"/>
      <c r="I56" s="3"/>
      <c r="J56" s="3"/>
      <c r="K56" s="3"/>
      <c r="L56" s="3"/>
      <c r="M56" s="3"/>
      <c r="N56" s="3"/>
      <c r="O56" s="3"/>
      <c r="P56" s="3"/>
      <c r="Q56" s="3"/>
      <c r="R56" s="3"/>
      <c r="S56" s="3"/>
      <c r="T56" s="3"/>
      <c r="U56" s="3"/>
      <c r="V56" s="3"/>
      <c r="W56" s="3"/>
      <c r="X56" s="3"/>
      <c r="Y56" s="3"/>
      <c r="Z56" s="3"/>
    </row>
    <row r="57" ht="14.25" customHeight="1">
      <c r="A57" s="32" t="s">
        <v>311</v>
      </c>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2" t="s">
        <v>312</v>
      </c>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2" t="s">
        <v>315</v>
      </c>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21" t="s">
        <v>319</v>
      </c>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11" t="s">
        <v>323</v>
      </c>
      <c r="B62" s="12"/>
      <c r="C62" s="12"/>
      <c r="D62" s="12"/>
      <c r="E62" s="3"/>
      <c r="F62" s="3"/>
      <c r="G62" s="3"/>
      <c r="H62" s="3"/>
      <c r="I62" s="3"/>
      <c r="J62" s="3"/>
      <c r="K62" s="3"/>
      <c r="L62" s="3"/>
      <c r="M62" s="3"/>
      <c r="N62" s="3"/>
      <c r="O62" s="3"/>
      <c r="P62" s="3"/>
      <c r="Q62" s="3"/>
      <c r="R62" s="3"/>
      <c r="S62" s="3"/>
      <c r="T62" s="3"/>
      <c r="U62" s="3"/>
      <c r="V62" s="3"/>
      <c r="W62" s="3"/>
      <c r="X62" s="3"/>
      <c r="Y62" s="3"/>
      <c r="Z62" s="3"/>
    </row>
    <row r="63" ht="14.25" customHeight="1">
      <c r="A63" s="32" t="s">
        <v>324</v>
      </c>
      <c r="B63" s="19" t="s">
        <v>325</v>
      </c>
      <c r="C63" s="3"/>
      <c r="D63" s="21" t="s">
        <v>326</v>
      </c>
      <c r="E63" s="3"/>
      <c r="F63" s="3"/>
      <c r="G63" s="3"/>
      <c r="H63" s="3"/>
      <c r="I63" s="3"/>
      <c r="J63" s="3"/>
      <c r="K63" s="3"/>
      <c r="L63" s="3"/>
      <c r="M63" s="3"/>
      <c r="N63" s="3"/>
      <c r="O63" s="3"/>
      <c r="P63" s="3"/>
      <c r="Q63" s="3"/>
      <c r="R63" s="3"/>
      <c r="S63" s="3"/>
      <c r="T63" s="3"/>
      <c r="U63" s="3"/>
      <c r="V63" s="3"/>
      <c r="W63" s="3"/>
      <c r="X63" s="3"/>
      <c r="Y63" s="3"/>
      <c r="Z63" s="3"/>
    </row>
    <row r="64" ht="15.75" customHeight="1">
      <c r="A64" s="43" t="s">
        <v>329</v>
      </c>
      <c r="E64" s="3"/>
      <c r="F64" s="3"/>
      <c r="G64" s="3"/>
      <c r="H64" s="3"/>
      <c r="I64" s="3"/>
      <c r="J64" s="3"/>
      <c r="K64" s="3"/>
      <c r="L64" s="3"/>
      <c r="M64" s="3"/>
      <c r="N64" s="3"/>
      <c r="O64" s="3"/>
      <c r="P64" s="3"/>
      <c r="Q64" s="3"/>
      <c r="R64" s="3"/>
      <c r="S64" s="3"/>
      <c r="T64" s="3"/>
      <c r="U64" s="3"/>
      <c r="V64" s="3"/>
      <c r="W64" s="3"/>
      <c r="X64" s="3"/>
      <c r="Y64" s="3"/>
      <c r="Z64" s="3"/>
    </row>
    <row r="65" ht="14.25" customHeight="1">
      <c r="E65" s="3"/>
      <c r="F65" s="3"/>
      <c r="G65" s="3"/>
      <c r="H65" s="3"/>
      <c r="I65" s="3"/>
      <c r="J65" s="3"/>
      <c r="K65" s="3"/>
      <c r="L65" s="3"/>
      <c r="M65" s="3"/>
      <c r="N65" s="3"/>
      <c r="O65" s="3"/>
      <c r="P65" s="3"/>
      <c r="Q65" s="3"/>
      <c r="R65" s="3"/>
      <c r="S65" s="3"/>
      <c r="T65" s="3"/>
      <c r="U65" s="3"/>
      <c r="V65" s="3"/>
      <c r="W65" s="3"/>
      <c r="X65" s="3"/>
      <c r="Y65" s="3"/>
      <c r="Z65" s="3"/>
    </row>
    <row r="66" ht="14.25" customHeight="1">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D3"/>
    <mergeCell ref="B4:D4"/>
    <mergeCell ref="B5:D5"/>
    <mergeCell ref="A64:D66"/>
  </mergeCells>
  <dataValidations>
    <dataValidation type="list" allowBlank="1" sqref="B63">
      <formula1>"Bottom-up,Function-point"</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5.71"/>
    <col customWidth="1" min="2" max="2" width="98.43"/>
    <col customWidth="1" min="3" max="3" width="132.71"/>
    <col customWidth="1" min="4" max="4" width="23.71"/>
    <col customWidth="1" min="5" max="5" width="16.0"/>
    <col customWidth="1" min="6" max="6" width="30.0"/>
    <col customWidth="1" min="7" max="7" width="8.71"/>
    <col customWidth="1" min="8" max="8" width="22.0"/>
    <col customWidth="1" min="9" max="26" width="8.71"/>
  </cols>
  <sheetData>
    <row r="1" ht="14.25" customHeight="1">
      <c r="A1" s="1" t="s">
        <v>0</v>
      </c>
      <c r="B1" s="4"/>
      <c r="C1" s="4"/>
      <c r="D1" s="4"/>
      <c r="E1" s="4"/>
      <c r="F1" s="4"/>
      <c r="G1" s="4"/>
      <c r="H1" s="4"/>
      <c r="I1" s="4"/>
      <c r="J1" s="4"/>
      <c r="K1" s="4"/>
      <c r="L1" s="4"/>
      <c r="M1" s="4"/>
      <c r="N1" s="4"/>
      <c r="O1" s="4"/>
      <c r="P1" s="4"/>
      <c r="Q1" s="4"/>
      <c r="R1" s="4"/>
      <c r="S1" s="4"/>
      <c r="T1" s="4"/>
      <c r="U1" s="4"/>
      <c r="V1" s="4"/>
      <c r="W1" s="4"/>
      <c r="X1" s="4"/>
      <c r="Y1" s="4"/>
      <c r="Z1" s="4"/>
    </row>
    <row r="2" ht="14.25" customHeight="1">
      <c r="A2" s="4"/>
      <c r="B2" s="4"/>
      <c r="C2" s="4"/>
      <c r="D2" s="4"/>
      <c r="E2" s="4"/>
      <c r="F2" s="4"/>
      <c r="G2" s="4"/>
      <c r="H2" s="4"/>
      <c r="I2" s="4"/>
      <c r="J2" s="4"/>
      <c r="K2" s="4"/>
      <c r="L2" s="4"/>
      <c r="M2" s="4"/>
      <c r="N2" s="4"/>
      <c r="O2" s="4"/>
      <c r="P2" s="4"/>
      <c r="Q2" s="4"/>
      <c r="R2" s="4"/>
      <c r="S2" s="4"/>
      <c r="T2" s="4"/>
      <c r="U2" s="4"/>
      <c r="V2" s="4"/>
      <c r="W2" s="4"/>
      <c r="X2" s="4"/>
      <c r="Y2" s="4"/>
      <c r="Z2" s="4"/>
    </row>
    <row r="3" ht="27.75" customHeight="1">
      <c r="A3" s="6" t="s">
        <v>4</v>
      </c>
      <c r="B3" s="7" t="s">
        <v>5</v>
      </c>
      <c r="G3" s="4"/>
      <c r="H3" s="4"/>
      <c r="I3" s="4"/>
      <c r="J3" s="4"/>
      <c r="K3" s="4"/>
      <c r="L3" s="4"/>
      <c r="M3" s="4"/>
      <c r="N3" s="4"/>
      <c r="O3" s="4"/>
      <c r="P3" s="4"/>
      <c r="Q3" s="4"/>
      <c r="R3" s="4"/>
      <c r="S3" s="4"/>
      <c r="T3" s="4"/>
      <c r="U3" s="4"/>
      <c r="V3" s="4"/>
      <c r="W3" s="4"/>
      <c r="X3" s="4"/>
      <c r="Y3" s="4"/>
      <c r="Z3" s="4"/>
    </row>
    <row r="4" ht="33.75" customHeight="1">
      <c r="A4" s="6" t="s">
        <v>9</v>
      </c>
      <c r="B4" s="7" t="s">
        <v>10</v>
      </c>
      <c r="G4" s="4"/>
      <c r="H4" s="4"/>
      <c r="I4" s="4"/>
      <c r="J4" s="4"/>
      <c r="K4" s="4"/>
      <c r="L4" s="4"/>
      <c r="M4" s="4"/>
      <c r="N4" s="4"/>
      <c r="O4" s="4"/>
      <c r="P4" s="4"/>
      <c r="Q4" s="4"/>
      <c r="R4" s="4"/>
      <c r="S4" s="4"/>
      <c r="T4" s="4"/>
      <c r="U4" s="4"/>
      <c r="V4" s="4"/>
      <c r="W4" s="4"/>
      <c r="X4" s="4"/>
      <c r="Y4" s="4"/>
      <c r="Z4" s="4"/>
    </row>
    <row r="5" ht="84.0" customHeight="1">
      <c r="A5" s="6" t="s">
        <v>11</v>
      </c>
      <c r="B5" s="7" t="s">
        <v>13</v>
      </c>
      <c r="G5" s="4"/>
      <c r="H5" s="4"/>
      <c r="I5" s="4"/>
      <c r="J5" s="4"/>
      <c r="K5" s="4"/>
      <c r="L5" s="4"/>
      <c r="M5" s="4"/>
      <c r="N5" s="4"/>
      <c r="O5" s="4"/>
      <c r="P5" s="4"/>
      <c r="Q5" s="4"/>
      <c r="R5" s="4"/>
      <c r="S5" s="4"/>
      <c r="T5" s="4"/>
      <c r="U5" s="4"/>
      <c r="V5" s="4"/>
      <c r="W5" s="4"/>
      <c r="X5" s="4"/>
      <c r="Y5" s="4"/>
      <c r="Z5" s="4"/>
    </row>
    <row r="6" ht="25.5" customHeight="1">
      <c r="A6" s="6" t="s">
        <v>16</v>
      </c>
      <c r="B6" s="7" t="s">
        <v>17</v>
      </c>
      <c r="G6" s="4"/>
      <c r="H6" s="4"/>
      <c r="I6" s="4"/>
      <c r="J6" s="4"/>
      <c r="K6" s="4"/>
      <c r="L6" s="4"/>
      <c r="M6" s="4"/>
      <c r="N6" s="4"/>
      <c r="O6" s="4"/>
      <c r="P6" s="4"/>
      <c r="Q6" s="4"/>
      <c r="R6" s="4"/>
      <c r="S6" s="4"/>
      <c r="T6" s="4"/>
      <c r="U6" s="4"/>
      <c r="V6" s="4"/>
      <c r="W6" s="4"/>
      <c r="X6" s="4"/>
      <c r="Y6" s="4"/>
      <c r="Z6" s="4"/>
    </row>
    <row r="7" ht="14.25" customHeight="1">
      <c r="A7" s="4"/>
      <c r="B7" s="4"/>
      <c r="C7" s="4"/>
      <c r="D7" s="4"/>
      <c r="E7" s="4"/>
      <c r="F7" s="4"/>
      <c r="G7" s="4"/>
      <c r="H7" s="4"/>
      <c r="I7" s="4"/>
      <c r="J7" s="4"/>
      <c r="K7" s="4"/>
      <c r="L7" s="4"/>
      <c r="M7" s="4"/>
      <c r="N7" s="4"/>
      <c r="O7" s="4"/>
      <c r="P7" s="4"/>
      <c r="Q7" s="4"/>
      <c r="R7" s="4"/>
      <c r="S7" s="4"/>
      <c r="T7" s="4"/>
      <c r="U7" s="4"/>
      <c r="V7" s="4"/>
      <c r="W7" s="4"/>
      <c r="X7" s="4"/>
      <c r="Y7" s="4"/>
      <c r="Z7" s="4"/>
    </row>
    <row r="8" ht="14.25" customHeight="1">
      <c r="A8" s="15" t="s">
        <v>49</v>
      </c>
      <c r="B8" s="16"/>
      <c r="C8" s="16"/>
      <c r="D8" s="16"/>
      <c r="E8" s="16"/>
      <c r="F8" s="4"/>
      <c r="G8" s="4"/>
      <c r="H8" s="4"/>
      <c r="I8" s="4"/>
      <c r="J8" s="4"/>
      <c r="K8" s="4"/>
      <c r="L8" s="4"/>
      <c r="M8" s="4"/>
      <c r="N8" s="4"/>
      <c r="O8" s="4"/>
      <c r="P8" s="4"/>
      <c r="Q8" s="4"/>
      <c r="R8" s="4"/>
      <c r="S8" s="4"/>
      <c r="T8" s="4"/>
      <c r="U8" s="4"/>
      <c r="V8" s="4"/>
      <c r="W8" s="4"/>
      <c r="X8" s="4"/>
      <c r="Y8" s="4"/>
    </row>
    <row r="9" ht="31.5" customHeight="1">
      <c r="A9" s="20" t="s">
        <v>64</v>
      </c>
      <c r="B9" s="20" t="s">
        <v>70</v>
      </c>
      <c r="C9" s="20" t="s">
        <v>72</v>
      </c>
      <c r="D9" s="20" t="s">
        <v>74</v>
      </c>
      <c r="E9" s="20" t="s">
        <v>77</v>
      </c>
      <c r="F9" s="4"/>
      <c r="G9" s="4"/>
      <c r="H9" s="4"/>
      <c r="I9" s="4"/>
      <c r="J9" s="4"/>
      <c r="K9" s="4"/>
      <c r="L9" s="4"/>
      <c r="M9" s="4"/>
      <c r="N9" s="4"/>
      <c r="O9" s="4"/>
      <c r="P9" s="4"/>
      <c r="Q9" s="4"/>
      <c r="R9" s="4"/>
      <c r="S9" s="4"/>
      <c r="T9" s="4"/>
      <c r="U9" s="4"/>
      <c r="V9" s="4"/>
      <c r="W9" s="4"/>
      <c r="X9" s="4"/>
      <c r="Y9" s="4"/>
    </row>
    <row r="10" ht="14.25" customHeight="1">
      <c r="A10" s="22" t="s">
        <v>90</v>
      </c>
      <c r="B10" s="22" t="s">
        <v>92</v>
      </c>
      <c r="C10" s="22" t="s">
        <v>93</v>
      </c>
      <c r="D10" s="22" t="s">
        <v>94</v>
      </c>
      <c r="E10" s="22" t="s">
        <v>95</v>
      </c>
      <c r="F10" s="4"/>
      <c r="G10" s="4"/>
      <c r="H10" s="4"/>
      <c r="I10" s="4"/>
      <c r="J10" s="4"/>
      <c r="K10" s="4"/>
      <c r="L10" s="4"/>
      <c r="M10" s="4"/>
      <c r="N10" s="4"/>
      <c r="O10" s="4"/>
      <c r="P10" s="4"/>
      <c r="Q10" s="4"/>
      <c r="R10" s="4"/>
      <c r="S10" s="4"/>
      <c r="T10" s="4"/>
      <c r="U10" s="4"/>
      <c r="V10" s="4"/>
      <c r="W10" s="4"/>
      <c r="X10" s="4"/>
      <c r="Y10" s="4"/>
    </row>
    <row r="11" ht="14.25" customHeight="1">
      <c r="A11" s="22" t="s">
        <v>98</v>
      </c>
      <c r="B11" s="22" t="s">
        <v>100</v>
      </c>
      <c r="C11" s="22" t="s">
        <v>93</v>
      </c>
      <c r="D11" s="22" t="s">
        <v>94</v>
      </c>
      <c r="E11" s="22" t="s">
        <v>95</v>
      </c>
      <c r="F11" s="4"/>
      <c r="G11" s="4"/>
      <c r="H11" s="4"/>
      <c r="I11" s="4"/>
      <c r="J11" s="4"/>
      <c r="K11" s="4"/>
      <c r="L11" s="4"/>
      <c r="M11" s="4"/>
      <c r="N11" s="4"/>
      <c r="O11" s="4"/>
      <c r="P11" s="4"/>
      <c r="Q11" s="4"/>
      <c r="R11" s="4"/>
      <c r="S11" s="4"/>
      <c r="T11" s="4"/>
      <c r="U11" s="4"/>
      <c r="V11" s="4"/>
      <c r="W11" s="4"/>
      <c r="X11" s="4"/>
      <c r="Y11" s="4"/>
    </row>
    <row r="12" ht="14.25" customHeight="1">
      <c r="A12" s="22" t="s">
        <v>105</v>
      </c>
      <c r="B12" s="22" t="s">
        <v>106</v>
      </c>
      <c r="C12" s="22" t="s">
        <v>93</v>
      </c>
      <c r="D12" s="22" t="s">
        <v>108</v>
      </c>
      <c r="E12" s="22" t="s">
        <v>95</v>
      </c>
      <c r="F12" s="4"/>
      <c r="G12" s="4"/>
      <c r="H12" s="4"/>
      <c r="I12" s="4"/>
      <c r="J12" s="4"/>
      <c r="K12" s="4"/>
      <c r="L12" s="4"/>
      <c r="M12" s="4"/>
      <c r="N12" s="4"/>
      <c r="O12" s="4"/>
      <c r="P12" s="4"/>
      <c r="Q12" s="4"/>
      <c r="R12" s="4"/>
      <c r="S12" s="4"/>
      <c r="T12" s="4"/>
      <c r="U12" s="4"/>
      <c r="V12" s="4"/>
      <c r="W12" s="4"/>
      <c r="X12" s="4"/>
      <c r="Y12" s="4"/>
    </row>
    <row r="13" ht="14.25" customHeight="1">
      <c r="A13" s="22" t="s">
        <v>112</v>
      </c>
      <c r="B13" s="22" t="s">
        <v>114</v>
      </c>
      <c r="C13" s="22" t="s">
        <v>93</v>
      </c>
      <c r="D13" s="22" t="s">
        <v>115</v>
      </c>
      <c r="E13" s="22" t="s">
        <v>116</v>
      </c>
      <c r="F13" s="4"/>
      <c r="G13" s="4"/>
      <c r="H13" s="4"/>
      <c r="I13" s="4"/>
      <c r="J13" s="4"/>
      <c r="K13" s="4"/>
      <c r="L13" s="4"/>
      <c r="M13" s="4"/>
      <c r="N13" s="4"/>
      <c r="O13" s="4"/>
      <c r="P13" s="4"/>
      <c r="Q13" s="4"/>
      <c r="R13" s="4"/>
      <c r="S13" s="4"/>
      <c r="T13" s="4"/>
      <c r="U13" s="4"/>
      <c r="V13" s="4"/>
      <c r="W13" s="4"/>
      <c r="X13" s="4"/>
      <c r="Y13" s="4"/>
    </row>
    <row r="14" ht="14.25" customHeight="1">
      <c r="A14" s="22" t="s">
        <v>118</v>
      </c>
      <c r="B14" s="22" t="s">
        <v>119</v>
      </c>
      <c r="C14" s="22" t="s">
        <v>93</v>
      </c>
      <c r="D14" s="22" t="s">
        <v>115</v>
      </c>
      <c r="E14" s="22" t="s">
        <v>95</v>
      </c>
      <c r="F14" s="4"/>
      <c r="G14" s="4"/>
      <c r="H14" s="4"/>
      <c r="I14" s="4"/>
      <c r="J14" s="4"/>
      <c r="K14" s="4"/>
      <c r="L14" s="4"/>
      <c r="M14" s="4"/>
      <c r="N14" s="4"/>
      <c r="O14" s="4"/>
      <c r="P14" s="4"/>
      <c r="Q14" s="4"/>
      <c r="R14" s="4"/>
      <c r="S14" s="4"/>
      <c r="T14" s="4"/>
      <c r="U14" s="4"/>
      <c r="V14" s="4"/>
      <c r="W14" s="4"/>
      <c r="X14" s="4"/>
      <c r="Y14" s="4"/>
    </row>
    <row r="15" ht="14.25" customHeight="1">
      <c r="A15" s="22" t="s">
        <v>127</v>
      </c>
      <c r="B15" s="22" t="s">
        <v>130</v>
      </c>
      <c r="C15" s="22" t="s">
        <v>93</v>
      </c>
      <c r="D15" s="22" t="s">
        <v>115</v>
      </c>
      <c r="E15" s="22" t="s">
        <v>95</v>
      </c>
      <c r="F15" s="4"/>
      <c r="G15" s="4"/>
      <c r="H15" s="4"/>
      <c r="I15" s="4"/>
      <c r="J15" s="4"/>
      <c r="K15" s="4"/>
      <c r="L15" s="4"/>
      <c r="M15" s="4"/>
      <c r="N15" s="4"/>
      <c r="O15" s="4"/>
      <c r="P15" s="4"/>
      <c r="Q15" s="4"/>
      <c r="R15" s="4"/>
      <c r="S15" s="4"/>
      <c r="T15" s="4"/>
      <c r="U15" s="4"/>
      <c r="V15" s="4"/>
      <c r="W15" s="4"/>
      <c r="X15" s="4"/>
      <c r="Y15" s="4"/>
    </row>
    <row r="16" ht="14.25" customHeight="1">
      <c r="A16" s="22" t="s">
        <v>133</v>
      </c>
      <c r="B16" s="22" t="s">
        <v>134</v>
      </c>
      <c r="C16" s="22" t="s">
        <v>93</v>
      </c>
      <c r="D16" s="22" t="s">
        <v>108</v>
      </c>
      <c r="E16" s="22" t="s">
        <v>116</v>
      </c>
      <c r="F16" s="4"/>
      <c r="G16" s="4"/>
      <c r="H16" s="4"/>
      <c r="I16" s="4"/>
      <c r="J16" s="4"/>
      <c r="K16" s="4"/>
      <c r="L16" s="4"/>
      <c r="M16" s="4"/>
      <c r="N16" s="4"/>
      <c r="O16" s="4"/>
      <c r="P16" s="4"/>
      <c r="Q16" s="4"/>
      <c r="R16" s="4"/>
      <c r="S16" s="4"/>
      <c r="T16" s="4"/>
      <c r="U16" s="4"/>
      <c r="V16" s="4"/>
      <c r="W16" s="4"/>
      <c r="X16" s="4"/>
      <c r="Y16" s="4"/>
    </row>
    <row r="17" ht="14.25" customHeight="1">
      <c r="A17" s="22" t="s">
        <v>140</v>
      </c>
      <c r="B17" s="22" t="s">
        <v>141</v>
      </c>
      <c r="C17" s="22" t="s">
        <v>93</v>
      </c>
      <c r="D17" s="22" t="s">
        <v>108</v>
      </c>
      <c r="E17" s="22" t="s">
        <v>116</v>
      </c>
      <c r="F17" s="4"/>
      <c r="G17" s="4"/>
      <c r="H17" s="4"/>
      <c r="I17" s="4"/>
      <c r="J17" s="4"/>
      <c r="K17" s="4"/>
      <c r="L17" s="4"/>
      <c r="M17" s="4"/>
      <c r="N17" s="4"/>
      <c r="O17" s="4"/>
      <c r="P17" s="4"/>
      <c r="Q17" s="4"/>
      <c r="R17" s="4"/>
      <c r="S17" s="4"/>
      <c r="T17" s="4"/>
      <c r="U17" s="4"/>
      <c r="V17" s="4"/>
      <c r="W17" s="4"/>
      <c r="X17" s="4"/>
      <c r="Y17" s="4"/>
    </row>
    <row r="18" ht="14.25" customHeight="1">
      <c r="A18" s="22" t="s">
        <v>144</v>
      </c>
      <c r="B18" s="22" t="s">
        <v>145</v>
      </c>
      <c r="C18" s="22" t="s">
        <v>93</v>
      </c>
      <c r="D18" s="22" t="s">
        <v>108</v>
      </c>
      <c r="E18" s="22" t="s">
        <v>116</v>
      </c>
      <c r="F18" s="4"/>
      <c r="G18" s="4"/>
      <c r="H18" s="4"/>
      <c r="I18" s="4"/>
      <c r="J18" s="4"/>
      <c r="K18" s="4"/>
      <c r="L18" s="4"/>
      <c r="M18" s="4"/>
      <c r="N18" s="4"/>
      <c r="O18" s="4"/>
      <c r="P18" s="4"/>
      <c r="Q18" s="4"/>
      <c r="R18" s="4"/>
      <c r="S18" s="4"/>
      <c r="T18" s="4"/>
      <c r="U18" s="4"/>
      <c r="V18" s="4"/>
      <c r="W18" s="4"/>
      <c r="X18" s="4"/>
      <c r="Y18" s="4"/>
    </row>
    <row r="19" ht="14.25" customHeight="1">
      <c r="A19" s="22" t="s">
        <v>151</v>
      </c>
      <c r="B19" s="22" t="s">
        <v>152</v>
      </c>
      <c r="C19" s="22" t="s">
        <v>153</v>
      </c>
      <c r="D19" s="22" t="s">
        <v>115</v>
      </c>
      <c r="E19" s="22" t="s">
        <v>154</v>
      </c>
      <c r="F19" s="4"/>
      <c r="G19" s="4"/>
      <c r="H19" s="4"/>
      <c r="I19" s="4"/>
      <c r="J19" s="4"/>
      <c r="K19" s="4"/>
      <c r="L19" s="4"/>
      <c r="M19" s="4"/>
      <c r="N19" s="4"/>
      <c r="O19" s="4"/>
      <c r="P19" s="4"/>
      <c r="Q19" s="4"/>
      <c r="R19" s="4"/>
      <c r="S19" s="4"/>
      <c r="T19" s="4"/>
      <c r="U19" s="4"/>
      <c r="V19" s="4"/>
      <c r="W19" s="4"/>
      <c r="X19" s="4"/>
      <c r="Y19" s="4"/>
    </row>
    <row r="20" ht="14.25" customHeight="1">
      <c r="A20" s="22" t="s">
        <v>155</v>
      </c>
      <c r="B20" s="22" t="s">
        <v>157</v>
      </c>
      <c r="C20" s="22" t="s">
        <v>93</v>
      </c>
      <c r="D20" s="22" t="s">
        <v>158</v>
      </c>
      <c r="E20" s="22" t="s">
        <v>95</v>
      </c>
      <c r="F20" s="4"/>
      <c r="G20" s="4"/>
      <c r="H20" s="4"/>
      <c r="I20" s="4"/>
      <c r="J20" s="4"/>
      <c r="K20" s="4"/>
      <c r="L20" s="4"/>
      <c r="M20" s="4"/>
      <c r="N20" s="4"/>
      <c r="O20" s="4"/>
      <c r="P20" s="4"/>
      <c r="Q20" s="4"/>
      <c r="R20" s="4"/>
      <c r="S20" s="4"/>
      <c r="T20" s="4"/>
      <c r="U20" s="4"/>
      <c r="V20" s="4"/>
      <c r="W20" s="4"/>
      <c r="X20" s="4"/>
      <c r="Y20" s="4"/>
    </row>
    <row r="21" ht="14.25" customHeight="1">
      <c r="A21" s="22" t="s">
        <v>160</v>
      </c>
      <c r="B21" s="22" t="s">
        <v>161</v>
      </c>
      <c r="C21" s="22" t="s">
        <v>93</v>
      </c>
      <c r="D21" s="22" t="s">
        <v>108</v>
      </c>
      <c r="E21" s="22" t="s">
        <v>116</v>
      </c>
      <c r="F21" s="4"/>
      <c r="G21" s="4"/>
      <c r="H21" s="4"/>
      <c r="I21" s="4"/>
      <c r="J21" s="4"/>
      <c r="K21" s="4"/>
      <c r="L21" s="4"/>
      <c r="M21" s="4"/>
      <c r="N21" s="4"/>
      <c r="O21" s="4"/>
      <c r="P21" s="4"/>
      <c r="Q21" s="4"/>
      <c r="R21" s="4"/>
      <c r="S21" s="4"/>
      <c r="T21" s="4"/>
      <c r="U21" s="4"/>
      <c r="V21" s="4"/>
      <c r="W21" s="4"/>
      <c r="X21" s="4"/>
      <c r="Y21" s="4"/>
    </row>
    <row r="22" ht="14.25" customHeight="1">
      <c r="A22" s="22" t="s">
        <v>163</v>
      </c>
      <c r="B22" s="22" t="s">
        <v>164</v>
      </c>
      <c r="C22" s="22" t="s">
        <v>153</v>
      </c>
      <c r="D22" s="22" t="s">
        <v>115</v>
      </c>
      <c r="E22" s="22" t="s">
        <v>154</v>
      </c>
      <c r="F22" s="4"/>
      <c r="G22" s="4"/>
      <c r="H22" s="4"/>
      <c r="I22" s="4"/>
      <c r="J22" s="4"/>
      <c r="K22" s="4"/>
      <c r="L22" s="4"/>
      <c r="M22" s="4"/>
      <c r="N22" s="4"/>
      <c r="O22" s="4"/>
      <c r="P22" s="4"/>
      <c r="Q22" s="4"/>
      <c r="R22" s="4"/>
      <c r="S22" s="4"/>
      <c r="T22" s="4"/>
      <c r="U22" s="4"/>
      <c r="V22" s="4"/>
      <c r="W22" s="4"/>
      <c r="X22" s="4"/>
      <c r="Y22" s="4"/>
    </row>
    <row r="23" ht="14.25" customHeight="1">
      <c r="A23" s="22" t="s">
        <v>166</v>
      </c>
      <c r="B23" s="22" t="s">
        <v>167</v>
      </c>
      <c r="C23" s="22" t="s">
        <v>93</v>
      </c>
      <c r="D23" s="22" t="s">
        <v>115</v>
      </c>
      <c r="E23" s="22" t="s">
        <v>116</v>
      </c>
      <c r="F23" s="4"/>
      <c r="G23" s="4"/>
      <c r="H23" s="4"/>
      <c r="I23" s="4"/>
      <c r="J23" s="4"/>
      <c r="K23" s="4"/>
      <c r="L23" s="4"/>
      <c r="M23" s="4"/>
      <c r="N23" s="4"/>
      <c r="O23" s="4"/>
      <c r="P23" s="4"/>
      <c r="Q23" s="4"/>
      <c r="R23" s="4"/>
      <c r="S23" s="4"/>
      <c r="T23" s="4"/>
      <c r="U23" s="4"/>
      <c r="V23" s="4"/>
      <c r="W23" s="4"/>
      <c r="X23" s="4"/>
      <c r="Y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15" t="s">
        <v>176</v>
      </c>
      <c r="B27" s="16"/>
      <c r="C27" s="16"/>
      <c r="D27" s="16"/>
      <c r="E27" s="16"/>
      <c r="F27" s="16"/>
      <c r="G27" s="4"/>
      <c r="H27" s="4"/>
      <c r="I27" s="4"/>
      <c r="J27" s="4"/>
      <c r="K27" s="4"/>
      <c r="L27" s="4"/>
      <c r="M27" s="4"/>
      <c r="N27" s="4"/>
      <c r="O27" s="4"/>
      <c r="P27" s="4"/>
      <c r="Q27" s="4"/>
      <c r="R27" s="4"/>
      <c r="S27" s="4"/>
      <c r="T27" s="4"/>
      <c r="U27" s="4"/>
      <c r="V27" s="4"/>
      <c r="W27" s="4"/>
      <c r="X27" s="4"/>
      <c r="Y27" s="4"/>
      <c r="Z27" s="4"/>
    </row>
    <row r="28" ht="31.5" customHeight="1">
      <c r="A28" s="20" t="s">
        <v>179</v>
      </c>
      <c r="B28" s="20" t="s">
        <v>180</v>
      </c>
      <c r="C28" s="20" t="s">
        <v>181</v>
      </c>
      <c r="D28" s="20" t="s">
        <v>182</v>
      </c>
      <c r="E28" s="20" t="s">
        <v>35</v>
      </c>
      <c r="F28" s="20" t="s">
        <v>183</v>
      </c>
      <c r="G28" s="4"/>
      <c r="H28" s="4"/>
      <c r="I28" s="4"/>
      <c r="J28" s="4"/>
      <c r="K28" s="4"/>
      <c r="L28" s="4"/>
      <c r="M28" s="4"/>
      <c r="N28" s="4"/>
      <c r="O28" s="4"/>
      <c r="P28" s="4"/>
      <c r="Q28" s="4"/>
      <c r="R28" s="4"/>
      <c r="S28" s="4"/>
      <c r="T28" s="4"/>
      <c r="U28" s="4"/>
      <c r="V28" s="4"/>
      <c r="W28" s="4"/>
      <c r="X28" s="4"/>
      <c r="Y28" s="4"/>
      <c r="Z28" s="4"/>
    </row>
    <row r="29" ht="27.75" customHeight="1">
      <c r="A29" s="22" t="s">
        <v>94</v>
      </c>
      <c r="B29" s="22" t="s">
        <v>184</v>
      </c>
      <c r="C29" s="22" t="s">
        <v>185</v>
      </c>
      <c r="D29" s="22" t="s">
        <v>93</v>
      </c>
      <c r="E29" s="22" t="s">
        <v>187</v>
      </c>
      <c r="F29" s="22" t="s">
        <v>188</v>
      </c>
      <c r="G29" s="4"/>
      <c r="H29" s="4"/>
      <c r="I29" s="4"/>
      <c r="J29" s="4"/>
      <c r="K29" s="4"/>
      <c r="L29" s="4"/>
      <c r="M29" s="4"/>
      <c r="N29" s="4"/>
      <c r="O29" s="4"/>
      <c r="P29" s="4"/>
      <c r="Q29" s="4"/>
      <c r="R29" s="4"/>
      <c r="S29" s="4"/>
      <c r="T29" s="4"/>
      <c r="U29" s="4"/>
      <c r="V29" s="4"/>
      <c r="W29" s="4"/>
      <c r="X29" s="4"/>
      <c r="Y29" s="4"/>
      <c r="Z29" s="4"/>
    </row>
    <row r="30" ht="27.75" customHeight="1">
      <c r="A30" s="22" t="s">
        <v>115</v>
      </c>
      <c r="B30" s="22" t="s">
        <v>191</v>
      </c>
      <c r="C30" s="22" t="s">
        <v>192</v>
      </c>
      <c r="D30" s="22" t="s">
        <v>193</v>
      </c>
      <c r="E30" s="22" t="s">
        <v>195</v>
      </c>
      <c r="F30" s="22" t="s">
        <v>196</v>
      </c>
      <c r="G30" s="4"/>
      <c r="H30" s="4"/>
      <c r="I30" s="4"/>
      <c r="J30" s="4"/>
      <c r="K30" s="4"/>
      <c r="L30" s="4"/>
      <c r="M30" s="4"/>
      <c r="N30" s="4"/>
      <c r="O30" s="4"/>
      <c r="P30" s="4"/>
      <c r="Q30" s="4"/>
      <c r="R30" s="4"/>
      <c r="S30" s="4"/>
      <c r="T30" s="4"/>
      <c r="U30" s="4"/>
      <c r="V30" s="4"/>
      <c r="W30" s="4"/>
      <c r="X30" s="4"/>
      <c r="Y30" s="4"/>
      <c r="Z30" s="4"/>
    </row>
    <row r="31" ht="27.75" customHeight="1">
      <c r="A31" s="22" t="s">
        <v>108</v>
      </c>
      <c r="B31" s="22" t="s">
        <v>199</v>
      </c>
      <c r="C31" s="22" t="s">
        <v>201</v>
      </c>
      <c r="D31" s="22" t="s">
        <v>93</v>
      </c>
      <c r="E31" s="22" t="s">
        <v>202</v>
      </c>
      <c r="F31" s="22" t="s">
        <v>203</v>
      </c>
      <c r="G31" s="4"/>
      <c r="H31" s="4"/>
      <c r="I31" s="4"/>
      <c r="J31" s="4"/>
      <c r="K31" s="4"/>
      <c r="L31" s="4"/>
      <c r="M31" s="4"/>
      <c r="N31" s="4"/>
      <c r="O31" s="4"/>
      <c r="P31" s="4"/>
      <c r="Q31" s="4"/>
      <c r="R31" s="4"/>
      <c r="S31" s="4"/>
      <c r="T31" s="4"/>
      <c r="U31" s="4"/>
      <c r="V31" s="4"/>
      <c r="W31" s="4"/>
      <c r="X31" s="4"/>
      <c r="Y31" s="4"/>
      <c r="Z31" s="4"/>
    </row>
    <row r="32" ht="14.25" customHeight="1">
      <c r="A32" s="22" t="s">
        <v>158</v>
      </c>
      <c r="B32" s="22" t="s">
        <v>205</v>
      </c>
      <c r="C32" s="22" t="s">
        <v>206</v>
      </c>
      <c r="D32" s="22" t="s">
        <v>207</v>
      </c>
      <c r="E32" s="22" t="s">
        <v>187</v>
      </c>
      <c r="F32" s="22" t="s">
        <v>155</v>
      </c>
      <c r="G32" s="4"/>
      <c r="H32" s="4"/>
      <c r="I32" s="4"/>
      <c r="J32" s="4"/>
      <c r="K32" s="4"/>
      <c r="L32" s="4"/>
      <c r="M32" s="4"/>
      <c r="N32" s="4"/>
      <c r="O32" s="4"/>
      <c r="P32" s="4"/>
      <c r="Q32" s="4"/>
      <c r="R32" s="4"/>
      <c r="S32" s="4"/>
      <c r="T32" s="4"/>
      <c r="U32" s="4"/>
      <c r="V32" s="4"/>
      <c r="W32" s="4"/>
      <c r="X32" s="4"/>
      <c r="Y32" s="4"/>
      <c r="Z32" s="4"/>
    </row>
    <row r="33" ht="14.25" customHeight="1">
      <c r="A33" s="22"/>
      <c r="B33" s="22"/>
      <c r="C33" s="22"/>
      <c r="D33" s="22"/>
      <c r="E33" s="22"/>
      <c r="F33" s="22"/>
      <c r="G33" s="4"/>
      <c r="H33" s="4"/>
      <c r="I33" s="4"/>
      <c r="J33" s="4"/>
      <c r="K33" s="4"/>
      <c r="L33" s="4"/>
      <c r="M33" s="4"/>
      <c r="N33" s="4"/>
      <c r="O33" s="4"/>
      <c r="P33" s="4"/>
      <c r="Q33" s="4"/>
      <c r="R33" s="4"/>
      <c r="S33" s="4"/>
      <c r="T33" s="4"/>
      <c r="U33" s="4"/>
      <c r="V33" s="4"/>
      <c r="W33" s="4"/>
      <c r="X33" s="4"/>
      <c r="Y33" s="4"/>
      <c r="Z33" s="4"/>
    </row>
    <row r="34" ht="14.25" customHeight="1">
      <c r="A34" s="30"/>
      <c r="B34" s="30"/>
      <c r="C34" s="30"/>
      <c r="D34" s="30"/>
      <c r="E34" s="30"/>
      <c r="F34" s="30"/>
      <c r="G34" s="4"/>
      <c r="H34" s="4"/>
      <c r="I34" s="4"/>
      <c r="J34" s="4"/>
      <c r="K34" s="4"/>
      <c r="L34" s="4"/>
      <c r="M34" s="4"/>
      <c r="N34" s="4"/>
      <c r="O34" s="4"/>
      <c r="P34" s="4"/>
      <c r="Q34" s="4"/>
      <c r="R34" s="4"/>
      <c r="S34" s="4"/>
      <c r="T34" s="4"/>
      <c r="U34" s="4"/>
      <c r="V34" s="4"/>
      <c r="W34" s="4"/>
      <c r="X34" s="4"/>
      <c r="Y34" s="4"/>
      <c r="Z34" s="4"/>
    </row>
    <row r="35" ht="14.25" customHeight="1">
      <c r="A35" s="31"/>
      <c r="B35" s="31"/>
      <c r="C35" s="31"/>
      <c r="D35" s="31"/>
      <c r="E35" s="31"/>
      <c r="F35" s="30"/>
      <c r="G35" s="4"/>
      <c r="H35" s="4"/>
      <c r="I35" s="4"/>
      <c r="J35" s="4"/>
      <c r="K35" s="4"/>
      <c r="L35" s="4"/>
      <c r="M35" s="4"/>
      <c r="N35" s="4"/>
      <c r="O35" s="4"/>
      <c r="P35" s="4"/>
      <c r="Q35" s="4"/>
      <c r="R35" s="4"/>
      <c r="S35" s="4"/>
      <c r="T35" s="4"/>
      <c r="U35" s="4"/>
      <c r="V35" s="4"/>
      <c r="W35" s="4"/>
      <c r="X35" s="4"/>
      <c r="Y35" s="4"/>
      <c r="Z35" s="4"/>
    </row>
    <row r="36" ht="14.25" customHeight="1">
      <c r="A36" s="31"/>
      <c r="B36" s="31"/>
      <c r="C36" s="31"/>
      <c r="D36" s="31"/>
      <c r="E36" s="31"/>
      <c r="F36" s="31"/>
      <c r="G36" s="4"/>
      <c r="H36" s="4"/>
      <c r="I36" s="4"/>
      <c r="J36" s="4"/>
      <c r="K36" s="4"/>
      <c r="L36" s="4"/>
      <c r="M36" s="4"/>
      <c r="N36" s="4"/>
      <c r="O36" s="4"/>
      <c r="P36" s="4"/>
      <c r="Q36" s="4"/>
      <c r="R36" s="4"/>
      <c r="S36" s="4"/>
      <c r="T36" s="4"/>
      <c r="U36" s="4"/>
      <c r="V36" s="4"/>
      <c r="W36" s="4"/>
      <c r="X36" s="4"/>
      <c r="Y36" s="4"/>
      <c r="Z36" s="4"/>
    </row>
    <row r="37" ht="14.25" customHeight="1">
      <c r="A37" s="31"/>
      <c r="B37" s="31"/>
      <c r="C37" s="31"/>
      <c r="D37" s="31"/>
      <c r="E37" s="31"/>
      <c r="F37" s="31"/>
      <c r="G37" s="4"/>
      <c r="H37" s="4"/>
      <c r="I37" s="4"/>
      <c r="J37" s="4"/>
      <c r="K37" s="4"/>
      <c r="L37" s="4"/>
      <c r="M37" s="4"/>
      <c r="N37" s="4"/>
      <c r="O37" s="4"/>
      <c r="P37" s="4"/>
      <c r="Q37" s="4"/>
      <c r="R37" s="4"/>
      <c r="S37" s="4"/>
      <c r="T37" s="4"/>
      <c r="U37" s="4"/>
      <c r="V37" s="4"/>
      <c r="W37" s="4"/>
      <c r="X37" s="4"/>
      <c r="Y37" s="4"/>
      <c r="Z37" s="4"/>
    </row>
    <row r="38" ht="14.25" customHeight="1">
      <c r="A38" s="31"/>
      <c r="B38" s="31"/>
      <c r="C38" s="31"/>
      <c r="D38" s="31"/>
      <c r="E38" s="31"/>
      <c r="F38" s="31"/>
      <c r="G38" s="4"/>
      <c r="H38" s="4"/>
      <c r="I38" s="4"/>
      <c r="J38" s="4"/>
      <c r="K38" s="4"/>
      <c r="L38" s="4"/>
      <c r="M38" s="4"/>
      <c r="N38" s="4"/>
      <c r="O38" s="4"/>
      <c r="P38" s="4"/>
      <c r="Q38" s="4"/>
      <c r="R38" s="4"/>
      <c r="S38" s="4"/>
      <c r="T38" s="4"/>
      <c r="U38" s="4"/>
      <c r="V38" s="4"/>
      <c r="W38" s="4"/>
      <c r="X38" s="4"/>
      <c r="Y38" s="4"/>
      <c r="Z38" s="4"/>
    </row>
    <row r="39" ht="14.25" customHeight="1">
      <c r="A39" s="31"/>
      <c r="B39" s="31"/>
      <c r="C39" s="31"/>
      <c r="D39" s="31"/>
      <c r="E39" s="31"/>
      <c r="F39" s="31"/>
      <c r="G39" s="4"/>
      <c r="H39" s="4"/>
      <c r="I39" s="4"/>
      <c r="J39" s="4"/>
      <c r="K39" s="4"/>
      <c r="L39" s="4"/>
      <c r="M39" s="4"/>
      <c r="N39" s="4"/>
      <c r="O39" s="4"/>
      <c r="P39" s="4"/>
      <c r="Q39" s="4"/>
      <c r="R39" s="4"/>
      <c r="S39" s="4"/>
      <c r="T39" s="4"/>
      <c r="U39" s="4"/>
      <c r="V39" s="4"/>
      <c r="W39" s="4"/>
      <c r="X39" s="4"/>
      <c r="Y39" s="4"/>
      <c r="Z39" s="4"/>
    </row>
    <row r="40" ht="14.25" customHeight="1">
      <c r="A40" s="31"/>
      <c r="B40" s="31"/>
      <c r="C40" s="31"/>
      <c r="D40" s="31"/>
      <c r="E40" s="31"/>
      <c r="F40" s="31"/>
      <c r="G40" s="4"/>
      <c r="H40" s="4"/>
      <c r="I40" s="4"/>
      <c r="J40" s="4"/>
      <c r="K40" s="4"/>
      <c r="L40" s="4"/>
      <c r="M40" s="4"/>
      <c r="N40" s="4"/>
      <c r="O40" s="4"/>
      <c r="P40" s="4"/>
      <c r="Q40" s="4"/>
      <c r="R40" s="4"/>
      <c r="S40" s="4"/>
      <c r="T40" s="4"/>
      <c r="U40" s="4"/>
      <c r="V40" s="4"/>
      <c r="W40" s="4"/>
      <c r="X40" s="4"/>
      <c r="Y40" s="4"/>
      <c r="Z40" s="4"/>
    </row>
    <row r="41" ht="14.25" customHeight="1">
      <c r="A41" s="33" t="s">
        <v>218</v>
      </c>
      <c r="B41" s="33">
        <f>COUNTA(A29:A40)</f>
        <v>4</v>
      </c>
      <c r="C41" s="34" t="str">
        <f>IF(AND(B41&gt;=Parameters!$B$52,B41&lt;=Parameters!$B$53),"PASS","REVIEW — outside "&amp;Parameters!$B$52&amp;"-"&amp;Parameters!$B$53)</f>
        <v>PASS</v>
      </c>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15" t="s">
        <v>226</v>
      </c>
      <c r="B43" s="16"/>
      <c r="C43" s="16"/>
      <c r="D43" s="4"/>
      <c r="E43" s="4"/>
      <c r="F43" s="4"/>
      <c r="G43" s="4"/>
      <c r="H43" s="4"/>
      <c r="I43" s="4"/>
      <c r="J43" s="4"/>
      <c r="K43" s="4"/>
      <c r="L43" s="4"/>
      <c r="M43" s="4"/>
      <c r="N43" s="4"/>
      <c r="O43" s="4"/>
      <c r="P43" s="4"/>
      <c r="Q43" s="4"/>
      <c r="R43" s="4"/>
      <c r="S43" s="4"/>
      <c r="T43" s="4"/>
      <c r="U43" s="4"/>
      <c r="V43" s="4"/>
      <c r="W43" s="4"/>
      <c r="X43" s="4"/>
      <c r="Y43" s="4"/>
      <c r="Z43" s="4"/>
    </row>
    <row r="44" ht="31.5" customHeight="1">
      <c r="A44" s="20" t="s">
        <v>229</v>
      </c>
      <c r="B44" s="20" t="s">
        <v>230</v>
      </c>
      <c r="C44" s="20" t="s">
        <v>231</v>
      </c>
      <c r="D44" s="36"/>
      <c r="E44" s="36"/>
      <c r="F44" s="36"/>
      <c r="G44" s="4"/>
      <c r="H44" s="4"/>
      <c r="I44" s="4"/>
      <c r="J44" s="4"/>
      <c r="K44" s="4"/>
      <c r="L44" s="4"/>
      <c r="M44" s="4"/>
      <c r="N44" s="4"/>
      <c r="O44" s="4"/>
      <c r="P44" s="4"/>
      <c r="Q44" s="4"/>
      <c r="R44" s="4"/>
      <c r="S44" s="4"/>
      <c r="T44" s="4"/>
      <c r="U44" s="4"/>
      <c r="V44" s="4"/>
      <c r="W44" s="4"/>
      <c r="X44" s="4"/>
      <c r="Y44" s="4"/>
      <c r="Z44" s="4"/>
    </row>
    <row r="45" ht="14.25" customHeight="1">
      <c r="A45" s="22" t="s">
        <v>234</v>
      </c>
      <c r="B45" s="22" t="s">
        <v>235</v>
      </c>
      <c r="C45" s="22" t="s">
        <v>236</v>
      </c>
      <c r="D45" s="37"/>
      <c r="E45" s="37"/>
      <c r="F45" s="37"/>
      <c r="G45" s="37"/>
      <c r="H45" s="4"/>
      <c r="I45" s="4"/>
      <c r="J45" s="4"/>
      <c r="K45" s="4"/>
      <c r="L45" s="4"/>
      <c r="M45" s="4"/>
      <c r="N45" s="4"/>
      <c r="O45" s="4"/>
      <c r="P45" s="4"/>
      <c r="Q45" s="4"/>
      <c r="R45" s="4"/>
      <c r="S45" s="4"/>
      <c r="T45" s="4"/>
      <c r="U45" s="4"/>
      <c r="V45" s="4"/>
      <c r="W45" s="4"/>
      <c r="X45" s="4"/>
      <c r="Y45" s="4"/>
      <c r="Z45" s="4"/>
    </row>
    <row r="46" ht="14.25" customHeight="1">
      <c r="A46" s="22" t="s">
        <v>238</v>
      </c>
      <c r="B46" s="22" t="s">
        <v>239</v>
      </c>
      <c r="C46" s="22" t="s">
        <v>240</v>
      </c>
      <c r="D46" s="37"/>
      <c r="E46" s="37"/>
      <c r="F46" s="37"/>
      <c r="G46" s="37"/>
      <c r="H46" s="4"/>
      <c r="I46" s="4"/>
      <c r="J46" s="4"/>
      <c r="K46" s="4"/>
      <c r="L46" s="4"/>
      <c r="M46" s="4"/>
      <c r="N46" s="4"/>
      <c r="O46" s="4"/>
      <c r="P46" s="4"/>
      <c r="Q46" s="4"/>
      <c r="R46" s="4"/>
      <c r="S46" s="4"/>
      <c r="T46" s="4"/>
      <c r="U46" s="4"/>
      <c r="V46" s="4"/>
      <c r="W46" s="4"/>
      <c r="X46" s="4"/>
      <c r="Y46" s="4"/>
      <c r="Z46" s="4"/>
    </row>
    <row r="47" ht="14.25" customHeight="1">
      <c r="A47" s="22" t="s">
        <v>243</v>
      </c>
      <c r="B47" s="22" t="s">
        <v>244</v>
      </c>
      <c r="C47" s="22" t="s">
        <v>245</v>
      </c>
      <c r="D47" s="37"/>
      <c r="E47" s="37"/>
      <c r="F47" s="37"/>
      <c r="G47" s="37"/>
      <c r="H47" s="4"/>
      <c r="I47" s="4"/>
      <c r="J47" s="4"/>
      <c r="K47" s="4"/>
      <c r="L47" s="4"/>
      <c r="M47" s="4"/>
      <c r="N47" s="4"/>
      <c r="O47" s="4"/>
      <c r="P47" s="4"/>
      <c r="Q47" s="4"/>
      <c r="R47" s="4"/>
      <c r="S47" s="4"/>
      <c r="T47" s="4"/>
      <c r="U47" s="4"/>
      <c r="V47" s="4"/>
      <c r="W47" s="4"/>
      <c r="X47" s="4"/>
      <c r="Y47" s="4"/>
      <c r="Z47" s="4"/>
    </row>
    <row r="48" ht="14.25" customHeight="1">
      <c r="A48" s="22" t="s">
        <v>247</v>
      </c>
      <c r="B48" s="22" t="s">
        <v>248</v>
      </c>
      <c r="C48" s="22" t="s">
        <v>249</v>
      </c>
      <c r="D48" s="37"/>
      <c r="E48" s="37"/>
      <c r="F48" s="37"/>
      <c r="G48" s="37"/>
      <c r="H48" s="4"/>
      <c r="I48" s="4"/>
      <c r="J48" s="4"/>
      <c r="K48" s="4"/>
      <c r="L48" s="4"/>
      <c r="M48" s="4"/>
      <c r="N48" s="4"/>
      <c r="O48" s="4"/>
      <c r="P48" s="4"/>
      <c r="Q48" s="4"/>
      <c r="R48" s="4"/>
      <c r="S48" s="4"/>
      <c r="T48" s="4"/>
      <c r="U48" s="4"/>
      <c r="V48" s="4"/>
      <c r="W48" s="4"/>
      <c r="X48" s="4"/>
      <c r="Y48" s="4"/>
      <c r="Z48" s="4"/>
    </row>
    <row r="49" ht="14.25" customHeight="1">
      <c r="A49" s="22" t="s">
        <v>251</v>
      </c>
      <c r="B49" s="22" t="s">
        <v>252</v>
      </c>
      <c r="C49" s="22" t="s">
        <v>253</v>
      </c>
      <c r="D49" s="37"/>
      <c r="E49" s="37"/>
      <c r="F49" s="37"/>
      <c r="G49" s="37"/>
      <c r="H49" s="4"/>
      <c r="I49" s="4"/>
      <c r="J49" s="4"/>
      <c r="K49" s="4"/>
      <c r="L49" s="4"/>
      <c r="M49" s="4"/>
      <c r="N49" s="4"/>
      <c r="O49" s="4"/>
      <c r="P49" s="4"/>
      <c r="Q49" s="4"/>
      <c r="R49" s="4"/>
      <c r="S49" s="4"/>
      <c r="T49" s="4"/>
      <c r="U49" s="4"/>
      <c r="V49" s="4"/>
      <c r="W49" s="4"/>
      <c r="X49" s="4"/>
      <c r="Y49" s="4"/>
      <c r="Z49" s="4"/>
    </row>
    <row r="50" ht="14.25" customHeight="1">
      <c r="A50" s="22" t="s">
        <v>256</v>
      </c>
      <c r="B50" s="22" t="s">
        <v>257</v>
      </c>
      <c r="C50" s="22" t="s">
        <v>258</v>
      </c>
      <c r="D50" s="37"/>
      <c r="E50" s="37"/>
      <c r="F50" s="37"/>
      <c r="G50" s="37"/>
      <c r="H50" s="4"/>
      <c r="I50" s="4"/>
      <c r="J50" s="4"/>
      <c r="K50" s="4"/>
      <c r="L50" s="4"/>
      <c r="M50" s="4"/>
      <c r="N50" s="4"/>
      <c r="O50" s="4"/>
      <c r="P50" s="4"/>
      <c r="Q50" s="4"/>
      <c r="R50" s="4"/>
      <c r="S50" s="4"/>
      <c r="T50" s="4"/>
      <c r="U50" s="4"/>
      <c r="V50" s="4"/>
      <c r="W50" s="4"/>
      <c r="X50" s="4"/>
      <c r="Y50" s="4"/>
      <c r="Z50" s="4"/>
    </row>
    <row r="51" ht="14.25" customHeight="1">
      <c r="A51" s="22" t="s">
        <v>260</v>
      </c>
      <c r="B51" s="22" t="s">
        <v>261</v>
      </c>
      <c r="C51" s="22" t="s">
        <v>262</v>
      </c>
      <c r="D51" s="37"/>
      <c r="E51" s="37"/>
      <c r="F51" s="37"/>
      <c r="G51" s="37"/>
      <c r="H51" s="4"/>
      <c r="I51" s="4"/>
      <c r="J51" s="4"/>
      <c r="K51" s="4"/>
      <c r="L51" s="4"/>
      <c r="M51" s="4"/>
      <c r="N51" s="4"/>
      <c r="O51" s="4"/>
      <c r="P51" s="4"/>
      <c r="Q51" s="4"/>
      <c r="R51" s="4"/>
      <c r="S51" s="4"/>
      <c r="T51" s="4"/>
      <c r="U51" s="4"/>
      <c r="V51" s="4"/>
      <c r="W51" s="4"/>
      <c r="X51" s="4"/>
      <c r="Y51" s="4"/>
      <c r="Z51" s="4"/>
    </row>
    <row r="52" ht="14.25" customHeight="1">
      <c r="A52" s="22" t="s">
        <v>264</v>
      </c>
      <c r="B52" s="22" t="s">
        <v>265</v>
      </c>
      <c r="C52" s="22" t="s">
        <v>266</v>
      </c>
      <c r="D52" s="37"/>
      <c r="E52" s="37"/>
      <c r="F52" s="37"/>
      <c r="G52" s="37"/>
      <c r="H52" s="4"/>
      <c r="I52" s="4"/>
      <c r="J52" s="4"/>
      <c r="K52" s="4"/>
      <c r="L52" s="4"/>
      <c r="M52" s="4"/>
      <c r="N52" s="4"/>
      <c r="O52" s="4"/>
      <c r="P52" s="4"/>
      <c r="Q52" s="4"/>
      <c r="R52" s="4"/>
      <c r="S52" s="4"/>
      <c r="T52" s="4"/>
      <c r="U52" s="4"/>
      <c r="V52" s="4"/>
      <c r="W52" s="4"/>
      <c r="X52" s="4"/>
      <c r="Y52" s="4"/>
      <c r="Z52" s="4"/>
    </row>
    <row r="53" ht="14.25" customHeight="1">
      <c r="A53" s="22" t="s">
        <v>267</v>
      </c>
      <c r="B53" s="22" t="s">
        <v>268</v>
      </c>
      <c r="C53" s="22" t="s">
        <v>269</v>
      </c>
      <c r="D53" s="37"/>
      <c r="E53" s="37"/>
      <c r="F53" s="37"/>
      <c r="G53" s="37"/>
      <c r="H53" s="4"/>
      <c r="I53" s="4"/>
      <c r="J53" s="4"/>
      <c r="K53" s="4"/>
      <c r="L53" s="4"/>
      <c r="M53" s="4"/>
      <c r="N53" s="4"/>
      <c r="O53" s="4"/>
      <c r="P53" s="4"/>
      <c r="Q53" s="4"/>
      <c r="R53" s="4"/>
      <c r="S53" s="4"/>
      <c r="T53" s="4"/>
      <c r="U53" s="4"/>
      <c r="V53" s="4"/>
      <c r="W53" s="4"/>
      <c r="X53" s="4"/>
      <c r="Y53" s="4"/>
      <c r="Z53" s="4"/>
    </row>
    <row r="54" ht="57.0" customHeight="1">
      <c r="A54" s="22" t="s">
        <v>270</v>
      </c>
      <c r="B54" s="22" t="s">
        <v>271</v>
      </c>
      <c r="C54" s="22" t="s">
        <v>272</v>
      </c>
      <c r="D54" s="4"/>
      <c r="E54" s="4"/>
      <c r="F54" s="4"/>
      <c r="G54" s="4"/>
      <c r="H54" s="4"/>
      <c r="I54" s="4"/>
      <c r="J54" s="4"/>
      <c r="K54" s="4"/>
      <c r="L54" s="4"/>
      <c r="M54" s="4"/>
      <c r="N54" s="4"/>
      <c r="O54" s="4"/>
      <c r="P54" s="4"/>
      <c r="Q54" s="4"/>
      <c r="R54" s="4"/>
      <c r="S54" s="4"/>
      <c r="T54" s="4"/>
      <c r="U54" s="4"/>
      <c r="V54" s="4"/>
      <c r="W54" s="4"/>
      <c r="X54" s="4"/>
      <c r="Y54" s="4"/>
      <c r="Z54" s="4"/>
    </row>
    <row r="55" ht="90.0" customHeight="1">
      <c r="A55" s="22" t="s">
        <v>273</v>
      </c>
      <c r="B55" s="22" t="s">
        <v>275</v>
      </c>
      <c r="C55" s="22" t="s">
        <v>276</v>
      </c>
      <c r="D55" s="4"/>
      <c r="E55" s="4"/>
      <c r="F55" s="4"/>
      <c r="G55" s="4"/>
      <c r="H55" s="4"/>
      <c r="I55" s="4"/>
      <c r="J55" s="4"/>
      <c r="K55" s="4"/>
      <c r="L55" s="4"/>
      <c r="M55" s="4"/>
      <c r="N55" s="4"/>
      <c r="O55" s="4"/>
      <c r="P55" s="4"/>
      <c r="Q55" s="4"/>
      <c r="R55" s="4"/>
      <c r="S55" s="4"/>
      <c r="T55" s="4"/>
      <c r="U55" s="4"/>
      <c r="V55" s="4"/>
      <c r="W55" s="4"/>
    </row>
    <row r="56" ht="60.0" customHeight="1">
      <c r="A56" s="22" t="s">
        <v>277</v>
      </c>
      <c r="B56" s="22" t="s">
        <v>278</v>
      </c>
      <c r="C56" s="22" t="s">
        <v>279</v>
      </c>
      <c r="D56" s="4"/>
      <c r="E56" s="4"/>
      <c r="F56" s="4"/>
      <c r="G56" s="4"/>
      <c r="H56" s="4"/>
      <c r="I56" s="4"/>
      <c r="J56" s="4"/>
      <c r="K56" s="4"/>
      <c r="L56" s="4"/>
      <c r="M56" s="4"/>
      <c r="N56" s="4"/>
      <c r="O56" s="4"/>
      <c r="P56" s="4"/>
      <c r="Q56" s="4"/>
      <c r="R56" s="4"/>
      <c r="S56" s="4"/>
      <c r="T56" s="4"/>
      <c r="U56" s="4"/>
      <c r="V56" s="4"/>
      <c r="W56" s="4"/>
    </row>
    <row r="57" ht="60.0" customHeight="1">
      <c r="A57" s="39" t="s">
        <v>281</v>
      </c>
      <c r="B57" s="39" t="s">
        <v>283</v>
      </c>
      <c r="C57" s="39" t="s">
        <v>284</v>
      </c>
      <c r="D57" s="4"/>
      <c r="E57" s="4"/>
      <c r="F57" s="4"/>
      <c r="G57" s="4"/>
      <c r="H57" s="4"/>
      <c r="I57" s="4"/>
      <c r="J57" s="4"/>
      <c r="K57" s="4"/>
      <c r="L57" s="4"/>
      <c r="M57" s="4"/>
      <c r="N57" s="4"/>
      <c r="O57" s="4"/>
      <c r="P57" s="4"/>
      <c r="Q57" s="4"/>
      <c r="R57" s="4"/>
      <c r="S57" s="4"/>
      <c r="T57" s="4"/>
      <c r="U57" s="4"/>
      <c r="V57" s="4"/>
      <c r="W57" s="4"/>
    </row>
    <row r="58" ht="14.25" customHeight="1">
      <c r="A58" s="15" t="s">
        <v>285</v>
      </c>
      <c r="B58" s="16"/>
      <c r="C58" s="16"/>
      <c r="D58" s="16"/>
      <c r="E58" s="4"/>
      <c r="F58" s="4"/>
      <c r="G58" s="4"/>
      <c r="H58" s="4"/>
      <c r="I58" s="4"/>
      <c r="J58" s="4"/>
      <c r="K58" s="4"/>
      <c r="L58" s="4"/>
      <c r="M58" s="4"/>
      <c r="N58" s="4"/>
      <c r="O58" s="4"/>
      <c r="P58" s="4"/>
      <c r="Q58" s="4"/>
      <c r="R58" s="4"/>
      <c r="S58" s="4"/>
      <c r="T58" s="4"/>
      <c r="U58" s="4"/>
      <c r="V58" s="4"/>
      <c r="W58" s="4"/>
    </row>
    <row r="59" ht="31.5" customHeight="1">
      <c r="A59" s="20" t="s">
        <v>288</v>
      </c>
      <c r="B59" s="20" t="s">
        <v>289</v>
      </c>
      <c r="C59" s="20" t="s">
        <v>290</v>
      </c>
      <c r="D59" s="20" t="s">
        <v>291</v>
      </c>
      <c r="E59" s="4"/>
      <c r="F59" s="4"/>
      <c r="G59" s="4"/>
      <c r="H59" s="4"/>
      <c r="I59" s="4"/>
      <c r="J59" s="4"/>
      <c r="K59" s="4"/>
      <c r="L59" s="4"/>
      <c r="M59" s="4"/>
      <c r="N59" s="4"/>
      <c r="O59" s="4"/>
      <c r="P59" s="4"/>
      <c r="Q59" s="4"/>
      <c r="R59" s="4"/>
      <c r="S59" s="4"/>
      <c r="T59" s="4"/>
      <c r="U59" s="4"/>
      <c r="V59" s="4"/>
      <c r="W59" s="4"/>
    </row>
    <row r="60" ht="14.25" customHeight="1">
      <c r="A60" s="22" t="s">
        <v>292</v>
      </c>
      <c r="B60" s="22" t="s">
        <v>246</v>
      </c>
      <c r="C60" s="22" t="s">
        <v>294</v>
      </c>
      <c r="D60" s="42">
        <f t="array" ref="D60">IF(B60="","",IFERROR(INDEX(Parameters!$B$32:$B$37,MATCH(B60,Parameters!$A$32:$A$37,0)),"?"))</f>
        <v>7</v>
      </c>
      <c r="E60" s="4"/>
      <c r="F60" s="4"/>
      <c r="G60" s="4"/>
      <c r="H60" s="4"/>
      <c r="I60" s="4"/>
      <c r="J60" s="4"/>
      <c r="K60" s="4"/>
      <c r="L60" s="4"/>
      <c r="M60" s="4"/>
      <c r="N60" s="4"/>
      <c r="O60" s="4"/>
      <c r="P60" s="4"/>
      <c r="Q60" s="4"/>
      <c r="R60" s="4"/>
      <c r="S60" s="4"/>
      <c r="T60" s="4"/>
      <c r="U60" s="4"/>
      <c r="V60" s="4"/>
      <c r="W60" s="4"/>
    </row>
    <row r="61" ht="14.25" customHeight="1">
      <c r="A61" s="22" t="s">
        <v>313</v>
      </c>
      <c r="B61" s="22" t="s">
        <v>241</v>
      </c>
      <c r="C61" s="22" t="s">
        <v>314</v>
      </c>
      <c r="D61" s="42">
        <f t="array" ref="D61">IF(B61="","",IFERROR(INDEX(Parameters!$B$32:$B$37,MATCH(B61,Parameters!$A$32:$A$37,0)),"?"))</f>
        <v>10</v>
      </c>
      <c r="E61" s="4"/>
      <c r="F61" s="4"/>
      <c r="G61" s="4"/>
      <c r="H61" s="4"/>
      <c r="I61" s="4"/>
      <c r="J61" s="4"/>
      <c r="K61" s="4"/>
      <c r="L61" s="4"/>
      <c r="M61" s="4"/>
      <c r="N61" s="4"/>
      <c r="O61" s="4"/>
      <c r="P61" s="4"/>
      <c r="Q61" s="4"/>
      <c r="R61" s="4"/>
      <c r="S61" s="4"/>
      <c r="T61" s="4"/>
      <c r="U61" s="4"/>
      <c r="V61" s="4"/>
      <c r="W61" s="4"/>
    </row>
    <row r="62" ht="14.25" customHeight="1">
      <c r="A62" s="22" t="s">
        <v>327</v>
      </c>
      <c r="B62" s="22" t="s">
        <v>241</v>
      </c>
      <c r="C62" s="22" t="s">
        <v>328</v>
      </c>
      <c r="D62" s="42">
        <f t="array" ref="D62">IF(B62="","",IFERROR(INDEX(Parameters!$B$32:$B$37,MATCH(B62,Parameters!$A$32:$A$37,0)),"?"))</f>
        <v>10</v>
      </c>
      <c r="E62" s="4"/>
      <c r="F62" s="4"/>
      <c r="G62" s="4"/>
      <c r="H62" s="4"/>
      <c r="I62" s="4"/>
      <c r="J62" s="4"/>
      <c r="K62" s="4"/>
      <c r="L62" s="4"/>
      <c r="M62" s="4"/>
      <c r="N62" s="4"/>
      <c r="O62" s="4"/>
      <c r="P62" s="4"/>
      <c r="Q62" s="4"/>
      <c r="R62" s="4"/>
      <c r="S62" s="4"/>
      <c r="T62" s="4"/>
      <c r="U62" s="4"/>
      <c r="V62" s="4"/>
      <c r="W62" s="4"/>
    </row>
    <row r="63" ht="14.25" customHeight="1">
      <c r="A63" s="22" t="s">
        <v>330</v>
      </c>
      <c r="B63" s="22" t="s">
        <v>246</v>
      </c>
      <c r="C63" s="22" t="s">
        <v>331</v>
      </c>
      <c r="D63" s="42">
        <f t="array" ref="D63">IF(B63="","",IFERROR(INDEX(Parameters!$B$32:$B$37,MATCH(B63,Parameters!$A$32:$A$37,0)),"?"))</f>
        <v>7</v>
      </c>
      <c r="E63" s="4"/>
      <c r="F63" s="4"/>
      <c r="G63" s="4"/>
      <c r="H63" s="4"/>
      <c r="I63" s="4"/>
      <c r="J63" s="4"/>
      <c r="K63" s="4"/>
      <c r="L63" s="4"/>
      <c r="M63" s="4"/>
      <c r="N63" s="4"/>
      <c r="O63" s="4"/>
      <c r="P63" s="4"/>
      <c r="Q63" s="4"/>
      <c r="R63" s="4"/>
      <c r="S63" s="4"/>
      <c r="T63" s="4"/>
      <c r="U63" s="4"/>
      <c r="V63" s="4"/>
      <c r="W63" s="4"/>
      <c r="X63" s="4"/>
      <c r="Y63" s="4"/>
      <c r="Z63" s="4"/>
    </row>
    <row r="64" ht="14.25" customHeight="1">
      <c r="A64" s="22" t="s">
        <v>334</v>
      </c>
      <c r="B64" s="22" t="s">
        <v>246</v>
      </c>
      <c r="C64" s="22" t="s">
        <v>335</v>
      </c>
      <c r="D64" s="42">
        <f t="array" ref="D64">IF(B64="","",IFERROR(INDEX(Parameters!$B$32:$B$37,MATCH(B64,Parameters!$A$32:$A$37,0)),"?"))</f>
        <v>7</v>
      </c>
      <c r="E64" s="4"/>
      <c r="F64" s="4"/>
      <c r="G64" s="4"/>
      <c r="H64" s="4"/>
      <c r="I64" s="4"/>
      <c r="J64" s="4"/>
      <c r="K64" s="4"/>
      <c r="L64" s="4"/>
      <c r="M64" s="4"/>
      <c r="N64" s="4"/>
      <c r="O64" s="4"/>
      <c r="P64" s="4"/>
      <c r="Q64" s="4"/>
      <c r="R64" s="4"/>
      <c r="S64" s="4"/>
      <c r="T64" s="4"/>
      <c r="U64" s="4"/>
      <c r="V64" s="4"/>
      <c r="W64" s="4"/>
      <c r="X64" s="4"/>
      <c r="Y64" s="4"/>
      <c r="Z64" s="4"/>
    </row>
    <row r="65" ht="14.25" customHeight="1">
      <c r="A65" s="22" t="s">
        <v>336</v>
      </c>
      <c r="B65" s="22" t="s">
        <v>241</v>
      </c>
      <c r="C65" s="22" t="s">
        <v>337</v>
      </c>
      <c r="D65" s="42">
        <f t="array" ref="D65">IF(B65="","",IFERROR(INDEX(Parameters!$B$32:$B$37,MATCH(B65,Parameters!$A$32:$A$37,0)),"?"))</f>
        <v>10</v>
      </c>
      <c r="E65" s="4"/>
      <c r="F65" s="4"/>
      <c r="G65" s="4"/>
      <c r="H65" s="4"/>
      <c r="I65" s="4"/>
      <c r="J65" s="4"/>
      <c r="K65" s="4"/>
      <c r="L65" s="4"/>
      <c r="M65" s="4"/>
      <c r="N65" s="4"/>
      <c r="O65" s="4"/>
      <c r="P65" s="4"/>
      <c r="Q65" s="4"/>
      <c r="R65" s="4"/>
      <c r="S65" s="4"/>
      <c r="T65" s="4"/>
      <c r="U65" s="4"/>
      <c r="V65" s="4"/>
      <c r="W65" s="4"/>
      <c r="X65" s="4"/>
      <c r="Y65" s="4"/>
      <c r="Z65" s="4"/>
    </row>
    <row r="66" ht="14.25" customHeight="1">
      <c r="A66" s="31" t="s">
        <v>338</v>
      </c>
      <c r="B66" s="31" t="s">
        <v>241</v>
      </c>
      <c r="C66" s="31" t="s">
        <v>339</v>
      </c>
      <c r="D66" s="42">
        <f t="array" ref="D66">IF(B66="","",IFERROR(INDEX(Parameters!$B$32:$B$37,MATCH(B66,Parameters!$A$32:$A$37,0)),"?"))</f>
        <v>10</v>
      </c>
      <c r="E66" s="4"/>
      <c r="F66" s="4"/>
      <c r="G66" s="4"/>
      <c r="H66" s="4"/>
      <c r="I66" s="4"/>
      <c r="J66" s="4"/>
      <c r="K66" s="4"/>
      <c r="L66" s="4"/>
      <c r="M66" s="4"/>
      <c r="N66" s="4"/>
      <c r="O66" s="4"/>
      <c r="P66" s="4"/>
      <c r="Q66" s="4"/>
      <c r="R66" s="4"/>
      <c r="S66" s="4"/>
      <c r="T66" s="4"/>
      <c r="U66" s="4"/>
      <c r="V66" s="4"/>
      <c r="W66" s="4"/>
      <c r="X66" s="4"/>
      <c r="Y66" s="4"/>
      <c r="Z66" s="4"/>
    </row>
    <row r="67" ht="14.25" customHeight="1">
      <c r="A67" s="31" t="s">
        <v>347</v>
      </c>
      <c r="B67" s="31" t="s">
        <v>246</v>
      </c>
      <c r="C67" s="31" t="s">
        <v>348</v>
      </c>
      <c r="D67" s="42">
        <f t="array" ref="D67">IF(B67="","",IFERROR(INDEX(Parameters!$B$32:$B$37,MATCH(B67,Parameters!$A$32:$A$37,0)),"?"))</f>
        <v>7</v>
      </c>
      <c r="E67" s="4"/>
      <c r="F67" s="4"/>
      <c r="G67" s="4"/>
      <c r="H67" s="4"/>
      <c r="I67" s="4"/>
      <c r="J67" s="4"/>
      <c r="K67" s="4"/>
      <c r="L67" s="4"/>
      <c r="M67" s="4"/>
      <c r="N67" s="4"/>
      <c r="O67" s="4"/>
      <c r="P67" s="4"/>
      <c r="Q67" s="4"/>
      <c r="R67" s="4"/>
      <c r="S67" s="4"/>
      <c r="T67" s="4"/>
      <c r="U67" s="4"/>
      <c r="V67" s="4"/>
      <c r="W67" s="4"/>
      <c r="X67" s="4"/>
      <c r="Y67" s="4"/>
      <c r="Z67" s="4"/>
    </row>
    <row r="68" ht="14.25" customHeight="1">
      <c r="A68" s="31" t="s">
        <v>349</v>
      </c>
      <c r="B68" s="31" t="s">
        <v>241</v>
      </c>
      <c r="C68" s="31" t="s">
        <v>350</v>
      </c>
      <c r="D68" s="42">
        <f t="array" ref="D68">IF(B68="","",IFERROR(INDEX(Parameters!$B$32:$B$37,MATCH(B68,Parameters!$A$32:$A$37,0)),"?"))</f>
        <v>10</v>
      </c>
      <c r="E68" s="4"/>
      <c r="F68" s="4"/>
      <c r="G68" s="4"/>
      <c r="H68" s="4"/>
      <c r="I68" s="4"/>
      <c r="J68" s="4"/>
      <c r="K68" s="4"/>
      <c r="L68" s="4"/>
      <c r="M68" s="4"/>
      <c r="N68" s="4"/>
      <c r="O68" s="4"/>
      <c r="P68" s="4"/>
      <c r="Q68" s="4"/>
      <c r="R68" s="4"/>
      <c r="S68" s="4"/>
      <c r="T68" s="4"/>
      <c r="U68" s="4"/>
      <c r="V68" s="4"/>
      <c r="W68" s="4"/>
      <c r="X68" s="4"/>
      <c r="Y68" s="4"/>
      <c r="Z68" s="4"/>
    </row>
    <row r="69" ht="14.25" customHeight="1">
      <c r="A69" s="31" t="s">
        <v>351</v>
      </c>
      <c r="B69" s="31" t="s">
        <v>246</v>
      </c>
      <c r="C69" s="31" t="s">
        <v>352</v>
      </c>
      <c r="D69" s="42">
        <f t="array" ref="D69">IF(B69="","",IFERROR(INDEX(Parameters!$B$32:$B$37,MATCH(B69,Parameters!$A$32:$A$37,0)),"?"))</f>
        <v>7</v>
      </c>
      <c r="E69" s="4"/>
      <c r="F69" s="4"/>
      <c r="G69" s="4"/>
      <c r="H69" s="4"/>
      <c r="I69" s="4"/>
      <c r="J69" s="4"/>
      <c r="K69" s="4"/>
      <c r="L69" s="4"/>
      <c r="M69" s="4"/>
      <c r="N69" s="4"/>
      <c r="O69" s="4"/>
      <c r="P69" s="4"/>
      <c r="Q69" s="4"/>
      <c r="R69" s="4"/>
      <c r="S69" s="4"/>
      <c r="T69" s="4"/>
      <c r="U69" s="4"/>
      <c r="V69" s="4"/>
      <c r="W69" s="4"/>
      <c r="X69" s="4"/>
      <c r="Y69" s="4"/>
      <c r="Z69" s="4"/>
    </row>
    <row r="70" ht="14.25" customHeight="1">
      <c r="A70" s="31" t="s">
        <v>355</v>
      </c>
      <c r="B70" s="31" t="s">
        <v>241</v>
      </c>
      <c r="C70" s="31" t="s">
        <v>356</v>
      </c>
      <c r="D70" s="42">
        <f t="array" ref="D70">IF(B70="","",IFERROR(INDEX(Parameters!$B$32:$B$37,MATCH(B70,Parameters!$A$32:$A$37,0)),"?"))</f>
        <v>10</v>
      </c>
      <c r="E70" s="4"/>
      <c r="F70" s="4"/>
      <c r="G70" s="4"/>
      <c r="H70" s="4"/>
      <c r="I70" s="4"/>
      <c r="J70" s="4"/>
      <c r="K70" s="4"/>
      <c r="L70" s="4"/>
      <c r="M70" s="4"/>
      <c r="N70" s="4"/>
      <c r="O70" s="4"/>
      <c r="P70" s="4"/>
      <c r="Q70" s="4"/>
      <c r="R70" s="4"/>
      <c r="S70" s="4"/>
      <c r="T70" s="4"/>
      <c r="U70" s="4"/>
      <c r="V70" s="4"/>
      <c r="W70" s="4"/>
      <c r="X70" s="4"/>
      <c r="Y70" s="4"/>
      <c r="Z70" s="4"/>
    </row>
    <row r="71" ht="14.25" customHeight="1">
      <c r="A71" s="31"/>
      <c r="B71" s="31"/>
      <c r="C71" s="31"/>
      <c r="D71" s="42" t="str">
        <f t="array" ref="D71">IF(B71="","",IFERROR(INDEX(Parameters!$B$32:$B$37,MATCH(B71,Parameters!$A$32:$A$37,0)),"?"))</f>
        <v/>
      </c>
      <c r="E71" s="4"/>
      <c r="F71" s="4"/>
      <c r="G71" s="4"/>
      <c r="H71" s="4"/>
      <c r="I71" s="4"/>
      <c r="J71" s="4"/>
      <c r="K71" s="4"/>
      <c r="L71" s="4"/>
      <c r="M71" s="4"/>
      <c r="N71" s="4"/>
      <c r="O71" s="4"/>
      <c r="P71" s="4"/>
      <c r="Q71" s="4"/>
      <c r="R71" s="4"/>
      <c r="S71" s="4"/>
      <c r="T71" s="4"/>
      <c r="U71" s="4"/>
      <c r="V71" s="4"/>
      <c r="W71" s="4"/>
      <c r="X71" s="4"/>
      <c r="Y71" s="4"/>
      <c r="Z71" s="4"/>
    </row>
    <row r="72" ht="14.25" customHeight="1">
      <c r="A72" s="31"/>
      <c r="B72" s="31"/>
      <c r="C72" s="31"/>
      <c r="D72" s="42" t="str">
        <f t="array" ref="D72">IF(B72="","",IFERROR(INDEX(Parameters!$B$32:$B$37,MATCH(B72,Parameters!$A$32:$A$37,0)),"?"))</f>
        <v/>
      </c>
      <c r="E72" s="4"/>
      <c r="F72" s="4"/>
      <c r="G72" s="4"/>
      <c r="H72" s="4"/>
      <c r="I72" s="4"/>
      <c r="J72" s="4"/>
      <c r="K72" s="4"/>
      <c r="L72" s="4"/>
      <c r="M72" s="4"/>
      <c r="N72" s="4"/>
      <c r="O72" s="4"/>
      <c r="P72" s="4"/>
      <c r="Q72" s="4"/>
      <c r="R72" s="4"/>
      <c r="S72" s="4"/>
      <c r="T72" s="4"/>
      <c r="U72" s="4"/>
      <c r="V72" s="4"/>
      <c r="W72" s="4"/>
      <c r="X72" s="4"/>
      <c r="Y72" s="4"/>
      <c r="Z72" s="4"/>
    </row>
    <row r="73" ht="14.25" customHeight="1">
      <c r="A73" s="31"/>
      <c r="B73" s="31"/>
      <c r="C73" s="31"/>
      <c r="D73" s="42" t="str">
        <f t="array" ref="D73">IF(B73="","",IFERROR(INDEX(Parameters!$B$32:$B$37,MATCH(B73,Parameters!$A$32:$A$37,0)),"?"))</f>
        <v/>
      </c>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4" t="s">
        <v>363</v>
      </c>
      <c r="D74" s="44">
        <f>SUM(D60:D73)</f>
        <v>95</v>
      </c>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3:F3"/>
    <mergeCell ref="B4:F4"/>
    <mergeCell ref="B5:F5"/>
    <mergeCell ref="B6:F6"/>
  </mergeCells>
  <dataValidations>
    <dataValidation type="list" allowBlank="1" sqref="B60:B73">
      <formula1>"ILF,EIF"</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3.0"/>
    <col customWidth="1" min="3" max="3" width="32.0"/>
    <col customWidth="1" min="4" max="4" width="17.14"/>
    <col customWidth="1" min="5" max="5" width="60.0"/>
    <col customWidth="1" min="6" max="6" width="26.0"/>
    <col customWidth="1" min="7" max="7" width="19.43"/>
    <col customWidth="1" min="8" max="8" width="13.0"/>
    <col customWidth="1" min="9" max="9" width="9.0"/>
    <col customWidth="1" min="10" max="10" width="17.0"/>
    <col customWidth="1" min="11" max="11" width="8.0"/>
    <col customWidth="1" min="12" max="12" width="40.0"/>
    <col customWidth="1" min="13" max="13" width="8.0"/>
    <col customWidth="1" min="14" max="14" width="11.0"/>
    <col customWidth="1" min="15" max="16" width="12.0"/>
    <col customWidth="1" min="17" max="17" width="8.0"/>
    <col customWidth="1" min="18" max="19" width="9.0"/>
  </cols>
  <sheetData>
    <row r="1" ht="14.25" customHeight="1">
      <c r="A1" s="5" t="s">
        <v>3</v>
      </c>
      <c r="B1" s="4"/>
      <c r="C1" s="4"/>
      <c r="D1" s="4"/>
      <c r="E1" s="4"/>
      <c r="F1" s="4"/>
      <c r="G1" s="4"/>
      <c r="H1" s="4"/>
      <c r="I1" s="4"/>
      <c r="J1" s="4"/>
      <c r="K1" s="4"/>
      <c r="L1" s="4"/>
      <c r="M1" s="4"/>
      <c r="N1" s="4"/>
      <c r="O1" s="4"/>
      <c r="P1" s="4"/>
      <c r="Q1" s="4"/>
      <c r="R1" s="4"/>
      <c r="S1" s="4"/>
      <c r="T1" s="4"/>
      <c r="U1" s="4"/>
      <c r="V1" s="4"/>
      <c r="W1" s="4"/>
      <c r="X1" s="4"/>
      <c r="Y1" s="4"/>
      <c r="Z1" s="4"/>
      <c r="AA1" s="4"/>
      <c r="AB1" s="4"/>
    </row>
    <row r="2" ht="14.25" customHeight="1">
      <c r="A2" s="4"/>
      <c r="B2" s="4"/>
      <c r="C2" s="4"/>
      <c r="D2" s="4"/>
      <c r="E2" s="4"/>
      <c r="F2" s="4"/>
      <c r="G2" s="4"/>
      <c r="H2" s="4"/>
      <c r="I2" s="4"/>
      <c r="J2" s="4"/>
      <c r="K2" s="4"/>
      <c r="L2" s="4"/>
      <c r="M2" s="4"/>
      <c r="N2" s="4"/>
      <c r="O2" s="4"/>
      <c r="P2" s="4"/>
      <c r="Q2" s="4"/>
      <c r="R2" s="4"/>
      <c r="S2" s="4"/>
      <c r="T2" s="4"/>
      <c r="U2" s="4"/>
      <c r="V2" s="4"/>
      <c r="W2" s="4"/>
      <c r="X2" s="4"/>
      <c r="Y2" s="4"/>
      <c r="Z2" s="4"/>
      <c r="AA2" s="4"/>
      <c r="AB2" s="4"/>
    </row>
    <row r="3" ht="25.5" customHeight="1">
      <c r="A3" s="10" t="s">
        <v>4</v>
      </c>
      <c r="B3" s="9" t="s">
        <v>26</v>
      </c>
      <c r="M3" s="4"/>
      <c r="N3" s="4"/>
      <c r="O3" s="4"/>
      <c r="P3" s="4"/>
      <c r="Q3" s="4"/>
      <c r="R3" s="4"/>
      <c r="S3" s="4"/>
      <c r="T3" s="4"/>
      <c r="U3" s="4"/>
      <c r="V3" s="4"/>
      <c r="W3" s="4"/>
      <c r="X3" s="4"/>
      <c r="Y3" s="4"/>
      <c r="Z3" s="4"/>
      <c r="AA3" s="4"/>
      <c r="AB3" s="4"/>
    </row>
    <row r="4" ht="33.75" customHeight="1">
      <c r="A4" s="10" t="s">
        <v>9</v>
      </c>
      <c r="B4" s="9" t="s">
        <v>27</v>
      </c>
      <c r="M4" s="4"/>
      <c r="N4" s="4"/>
      <c r="O4" s="4"/>
      <c r="P4" s="4"/>
      <c r="Q4" s="4"/>
      <c r="R4" s="4"/>
      <c r="S4" s="4"/>
      <c r="T4" s="4"/>
      <c r="U4" s="4"/>
      <c r="V4" s="4"/>
      <c r="W4" s="4"/>
      <c r="X4" s="4"/>
      <c r="Y4" s="4"/>
      <c r="Z4" s="4"/>
      <c r="AA4" s="4"/>
      <c r="AB4" s="4"/>
    </row>
    <row r="5" ht="90.0" customHeight="1">
      <c r="A5" s="10" t="s">
        <v>11</v>
      </c>
      <c r="B5" s="9" t="s">
        <v>28</v>
      </c>
      <c r="M5" s="4"/>
      <c r="N5" s="4"/>
      <c r="O5" s="4"/>
      <c r="P5" s="4"/>
      <c r="Q5" s="4"/>
      <c r="R5" s="4"/>
      <c r="S5" s="4"/>
      <c r="T5" s="4"/>
      <c r="U5" s="4"/>
      <c r="V5" s="4"/>
      <c r="W5" s="4"/>
      <c r="X5" s="4"/>
      <c r="Y5" s="4"/>
      <c r="Z5" s="4"/>
      <c r="AA5" s="4"/>
      <c r="AB5" s="4"/>
    </row>
    <row r="6" ht="39.75" customHeight="1">
      <c r="A6" s="10" t="s">
        <v>32</v>
      </c>
      <c r="B6" s="9" t="s">
        <v>36</v>
      </c>
      <c r="M6" s="4"/>
      <c r="N6" s="4"/>
      <c r="O6" s="4"/>
      <c r="P6" s="4"/>
      <c r="Q6" s="4"/>
      <c r="R6" s="4"/>
      <c r="S6" s="4"/>
      <c r="T6" s="4"/>
      <c r="U6" s="4"/>
      <c r="V6" s="4"/>
      <c r="W6" s="4"/>
      <c r="X6" s="4"/>
      <c r="Y6" s="4"/>
      <c r="Z6" s="4"/>
      <c r="AA6" s="4"/>
      <c r="AB6" s="4"/>
    </row>
    <row r="7" ht="25.5" customHeight="1">
      <c r="A7" s="10" t="s">
        <v>12</v>
      </c>
      <c r="B7" s="9" t="s">
        <v>39</v>
      </c>
      <c r="M7" s="4"/>
      <c r="N7" s="4"/>
      <c r="O7" s="4"/>
      <c r="P7" s="4"/>
      <c r="Q7" s="4"/>
      <c r="R7" s="4"/>
      <c r="S7" s="4"/>
      <c r="T7" s="4"/>
      <c r="U7" s="4"/>
      <c r="V7" s="4"/>
      <c r="W7" s="4"/>
      <c r="X7" s="4"/>
      <c r="Y7" s="4"/>
      <c r="Z7" s="4"/>
      <c r="AA7" s="4"/>
      <c r="AB7" s="4"/>
    </row>
    <row r="8" ht="14.25" customHeight="1">
      <c r="A8" s="4"/>
      <c r="B8" s="4"/>
      <c r="C8" s="4"/>
      <c r="D8" s="4"/>
      <c r="E8" s="4"/>
      <c r="F8" s="4"/>
      <c r="G8" s="4"/>
      <c r="H8" s="4"/>
      <c r="I8" s="4"/>
      <c r="J8" s="4"/>
      <c r="K8" s="4"/>
      <c r="L8" s="4"/>
      <c r="M8" s="4"/>
      <c r="N8" s="4"/>
      <c r="O8" s="4"/>
      <c r="P8" s="4"/>
      <c r="Q8" s="4"/>
      <c r="R8" s="4"/>
      <c r="S8" s="4"/>
      <c r="T8" s="4"/>
      <c r="U8" s="4"/>
      <c r="V8" s="4"/>
      <c r="W8" s="4"/>
      <c r="X8" s="4"/>
      <c r="Y8" s="4"/>
      <c r="Z8" s="4"/>
      <c r="AA8" s="4"/>
      <c r="AB8" s="4"/>
    </row>
    <row r="9" ht="31.5" customHeight="1">
      <c r="A9" s="18" t="s">
        <v>55</v>
      </c>
      <c r="B9" s="18" t="s">
        <v>61</v>
      </c>
      <c r="C9" s="18" t="s">
        <v>63</v>
      </c>
      <c r="D9" s="18" t="s">
        <v>65</v>
      </c>
      <c r="E9" s="18" t="s">
        <v>66</v>
      </c>
      <c r="F9" s="18" t="s">
        <v>67</v>
      </c>
      <c r="G9" s="18" t="s">
        <v>68</v>
      </c>
      <c r="H9" s="18" t="s">
        <v>69</v>
      </c>
      <c r="I9" s="18" t="s">
        <v>71</v>
      </c>
      <c r="J9" s="18" t="s">
        <v>73</v>
      </c>
      <c r="K9" s="18" t="s">
        <v>76</v>
      </c>
      <c r="L9" s="18" t="s">
        <v>78</v>
      </c>
      <c r="M9" s="18" t="s">
        <v>44</v>
      </c>
      <c r="N9" s="18" t="s">
        <v>79</v>
      </c>
      <c r="O9" s="18" t="s">
        <v>81</v>
      </c>
      <c r="P9" s="18" t="s">
        <v>83</v>
      </c>
      <c r="Q9" s="18" t="s">
        <v>85</v>
      </c>
      <c r="R9" s="18" t="s">
        <v>86</v>
      </c>
      <c r="S9" s="18" t="s">
        <v>88</v>
      </c>
      <c r="T9" s="4"/>
      <c r="U9" s="4"/>
      <c r="V9" s="4"/>
      <c r="W9" s="4"/>
      <c r="X9" s="4"/>
      <c r="Y9" s="4"/>
      <c r="Z9" s="4"/>
      <c r="AA9" s="4"/>
      <c r="AB9" s="4"/>
    </row>
    <row r="10" ht="24.0" customHeight="1">
      <c r="A10" s="23" t="s">
        <v>94</v>
      </c>
      <c r="B10" s="23" t="s">
        <v>99</v>
      </c>
      <c r="C10" s="23" t="s">
        <v>92</v>
      </c>
      <c r="D10" s="23" t="s">
        <v>101</v>
      </c>
      <c r="E10" s="23" t="s">
        <v>102</v>
      </c>
      <c r="F10" s="23" t="s">
        <v>103</v>
      </c>
      <c r="G10" s="23" t="s">
        <v>104</v>
      </c>
      <c r="H10" s="23" t="s">
        <v>117</v>
      </c>
      <c r="I10" s="23" t="s">
        <v>120</v>
      </c>
      <c r="J10" s="23" t="s">
        <v>122</v>
      </c>
      <c r="K10" s="23" t="s">
        <v>129</v>
      </c>
      <c r="L10" s="23" t="s">
        <v>131</v>
      </c>
      <c r="M10" s="23" t="s">
        <v>54</v>
      </c>
      <c r="N10" s="35">
        <f t="array" ref="N10">IF(M10="","",IFERROR(INDEX(Parameters!$B$9:$B$11,MATCH(M10,Parameters!$A$9:$A$11,0)),"?"))</f>
        <v>4</v>
      </c>
      <c r="O10" s="23" t="s">
        <v>116</v>
      </c>
      <c r="P10" s="23" t="s">
        <v>95</v>
      </c>
      <c r="Q10" s="38">
        <f t="shared" ref="Q10:Q87" si="1">IF(B10="","",IF(B10&lt;&gt;B9,1,0))</f>
        <v>1</v>
      </c>
      <c r="R10" s="38">
        <f t="shared" ref="R10:R87" si="2">IF(B10="","",SUM($Q$10:Q10))</f>
        <v>1</v>
      </c>
      <c r="S10" s="35">
        <f t="array" ref="S10">IF(Q10=1,IFERROR(INDEX(Parameters!$B$32:$B$37,MATCH(I10,Parameters!$A$32:$A$37,0)),0),0)</f>
        <v>4</v>
      </c>
      <c r="T10" s="4"/>
      <c r="U10" s="4"/>
      <c r="V10" s="4"/>
      <c r="W10" s="4"/>
      <c r="X10" s="4"/>
      <c r="Y10" s="4"/>
      <c r="Z10" s="4"/>
      <c r="AA10" s="4"/>
      <c r="AB10" s="4"/>
    </row>
    <row r="11" ht="24.0" customHeight="1">
      <c r="A11" s="23" t="s">
        <v>94</v>
      </c>
      <c r="B11" s="23" t="s">
        <v>99</v>
      </c>
      <c r="C11" s="23" t="s">
        <v>92</v>
      </c>
      <c r="D11" s="23" t="s">
        <v>101</v>
      </c>
      <c r="E11" s="23" t="s">
        <v>102</v>
      </c>
      <c r="F11" s="23" t="s">
        <v>103</v>
      </c>
      <c r="G11" s="23" t="s">
        <v>99</v>
      </c>
      <c r="H11" s="23" t="s">
        <v>117</v>
      </c>
      <c r="I11" s="23" t="s">
        <v>120</v>
      </c>
      <c r="J11" s="23" t="s">
        <v>295</v>
      </c>
      <c r="K11" s="23" t="s">
        <v>168</v>
      </c>
      <c r="L11" s="23" t="s">
        <v>296</v>
      </c>
      <c r="M11" s="23" t="s">
        <v>54</v>
      </c>
      <c r="N11" s="35">
        <f t="array" ref="N11">IF(M11="","",IFERROR(INDEX(Parameters!$B$9:$B$11,MATCH(M11,Parameters!$A$9:$A$11,0)),"?"))</f>
        <v>4</v>
      </c>
      <c r="O11" s="23" t="s">
        <v>116</v>
      </c>
      <c r="P11" s="23" t="s">
        <v>95</v>
      </c>
      <c r="Q11" s="38">
        <f t="shared" si="1"/>
        <v>0</v>
      </c>
      <c r="R11" s="38">
        <f t="shared" si="2"/>
        <v>1</v>
      </c>
      <c r="S11" s="35">
        <f t="array" ref="S11">IF(Q11=1,IFERROR(INDEX(Parameters!$B$32:$B$37,MATCH(I11,Parameters!$A$32:$A$37,0)),0),0)</f>
        <v>0</v>
      </c>
      <c r="T11" s="4"/>
      <c r="U11" s="4"/>
      <c r="V11" s="4"/>
      <c r="W11" s="4"/>
      <c r="X11" s="4"/>
      <c r="Y11" s="4"/>
      <c r="Z11" s="4"/>
      <c r="AA11" s="4"/>
      <c r="AB11" s="4"/>
    </row>
    <row r="12" ht="24.0" customHeight="1">
      <c r="A12" s="23" t="s">
        <v>94</v>
      </c>
      <c r="B12" s="23" t="s">
        <v>316</v>
      </c>
      <c r="C12" s="23" t="s">
        <v>317</v>
      </c>
      <c r="D12" s="23" t="s">
        <v>101</v>
      </c>
      <c r="E12" s="23" t="s">
        <v>318</v>
      </c>
      <c r="F12" s="23" t="s">
        <v>320</v>
      </c>
      <c r="G12" s="23" t="s">
        <v>99</v>
      </c>
      <c r="H12" s="23" t="s">
        <v>117</v>
      </c>
      <c r="I12" s="23" t="s">
        <v>120</v>
      </c>
      <c r="J12" s="23" t="s">
        <v>321</v>
      </c>
      <c r="K12" s="23" t="s">
        <v>129</v>
      </c>
      <c r="L12" s="23" t="s">
        <v>322</v>
      </c>
      <c r="M12" s="23" t="s">
        <v>107</v>
      </c>
      <c r="N12" s="35">
        <f t="array" ref="N12">IF(M12="","",IFERROR(INDEX(Parameters!$B$9:$B$11,MATCH(M12,Parameters!$A$9:$A$11,0)),"?"))</f>
        <v>16</v>
      </c>
      <c r="O12" s="23" t="s">
        <v>116</v>
      </c>
      <c r="P12" s="23" t="s">
        <v>95</v>
      </c>
      <c r="Q12" s="38">
        <f t="shared" si="1"/>
        <v>1</v>
      </c>
      <c r="R12" s="38">
        <f t="shared" si="2"/>
        <v>2</v>
      </c>
      <c r="S12" s="35">
        <f t="array" ref="S12">IF(Q12=1,IFERROR(INDEX(Parameters!$B$32:$B$37,MATCH(I12,Parameters!$A$32:$A$37,0)),0),0)</f>
        <v>4</v>
      </c>
      <c r="T12" s="4"/>
      <c r="U12" s="4"/>
      <c r="V12" s="4"/>
      <c r="W12" s="4"/>
      <c r="X12" s="4"/>
      <c r="Y12" s="4"/>
      <c r="Z12" s="4"/>
      <c r="AA12" s="4"/>
      <c r="AB12" s="4"/>
    </row>
    <row r="13" ht="24.0" customHeight="1">
      <c r="A13" s="23" t="s">
        <v>94</v>
      </c>
      <c r="B13" s="23" t="s">
        <v>316</v>
      </c>
      <c r="C13" s="23" t="s">
        <v>317</v>
      </c>
      <c r="D13" s="23" t="s">
        <v>101</v>
      </c>
      <c r="E13" s="23" t="s">
        <v>318</v>
      </c>
      <c r="F13" s="23" t="s">
        <v>320</v>
      </c>
      <c r="G13" s="23" t="s">
        <v>316</v>
      </c>
      <c r="H13" s="23" t="s">
        <v>117</v>
      </c>
      <c r="I13" s="23" t="s">
        <v>120</v>
      </c>
      <c r="J13" s="23" t="s">
        <v>332</v>
      </c>
      <c r="K13" s="23" t="s">
        <v>168</v>
      </c>
      <c r="L13" s="23" t="s">
        <v>333</v>
      </c>
      <c r="M13" s="23" t="s">
        <v>54</v>
      </c>
      <c r="N13" s="35">
        <f t="array" ref="N13">IF(M13="","",IFERROR(INDEX(Parameters!$B$9:$B$11,MATCH(M13,Parameters!$A$9:$A$11,0)),"?"))</f>
        <v>4</v>
      </c>
      <c r="O13" s="23" t="s">
        <v>116</v>
      </c>
      <c r="P13" s="23" t="s">
        <v>95</v>
      </c>
      <c r="Q13" s="38">
        <f t="shared" si="1"/>
        <v>0</v>
      </c>
      <c r="R13" s="38">
        <f t="shared" si="2"/>
        <v>2</v>
      </c>
      <c r="S13" s="35">
        <f t="array" ref="S13">IF(Q13=1,IFERROR(INDEX(Parameters!$B$32:$B$37,MATCH(I13,Parameters!$A$32:$A$37,0)),0),0)</f>
        <v>0</v>
      </c>
      <c r="T13" s="4"/>
      <c r="U13" s="4"/>
      <c r="V13" s="4"/>
      <c r="W13" s="4"/>
      <c r="X13" s="4"/>
      <c r="Y13" s="4"/>
      <c r="Z13" s="4"/>
      <c r="AA13" s="4"/>
      <c r="AB13" s="4"/>
    </row>
    <row r="14" ht="24.0" customHeight="1">
      <c r="A14" s="23" t="s">
        <v>94</v>
      </c>
      <c r="B14" s="23" t="s">
        <v>340</v>
      </c>
      <c r="C14" s="23" t="s">
        <v>341</v>
      </c>
      <c r="D14" s="23" t="s">
        <v>101</v>
      </c>
      <c r="E14" s="23" t="s">
        <v>342</v>
      </c>
      <c r="F14" s="23" t="s">
        <v>343</v>
      </c>
      <c r="G14" s="23" t="s">
        <v>316</v>
      </c>
      <c r="H14" s="23" t="s">
        <v>344</v>
      </c>
      <c r="I14" s="23" t="s">
        <v>120</v>
      </c>
      <c r="J14" s="23" t="s">
        <v>345</v>
      </c>
      <c r="K14" s="23" t="s">
        <v>129</v>
      </c>
      <c r="L14" s="23" t="s">
        <v>346</v>
      </c>
      <c r="M14" s="23" t="s">
        <v>96</v>
      </c>
      <c r="N14" s="35">
        <f t="array" ref="N14">IF(M14="","",IFERROR(INDEX(Parameters!$B$9:$B$11,MATCH(M14,Parameters!$A$9:$A$11,0)),"?"))</f>
        <v>8</v>
      </c>
      <c r="O14" s="23" t="s">
        <v>116</v>
      </c>
      <c r="P14" s="23" t="s">
        <v>95</v>
      </c>
      <c r="Q14" s="38">
        <f t="shared" si="1"/>
        <v>1</v>
      </c>
      <c r="R14" s="38">
        <f t="shared" si="2"/>
        <v>3</v>
      </c>
      <c r="S14" s="35">
        <f t="array" ref="S14">IF(Q14=1,IFERROR(INDEX(Parameters!$B$32:$B$37,MATCH(I14,Parameters!$A$32:$A$37,0)),0),0)</f>
        <v>4</v>
      </c>
      <c r="T14" s="4"/>
      <c r="U14" s="4"/>
      <c r="V14" s="4"/>
      <c r="W14" s="4"/>
      <c r="X14" s="4"/>
      <c r="Y14" s="4"/>
      <c r="Z14" s="4"/>
      <c r="AA14" s="4"/>
      <c r="AB14" s="4"/>
    </row>
    <row r="15" ht="24.0" customHeight="1">
      <c r="A15" s="23" t="s">
        <v>94</v>
      </c>
      <c r="B15" s="23" t="s">
        <v>340</v>
      </c>
      <c r="C15" s="23" t="s">
        <v>341</v>
      </c>
      <c r="D15" s="23" t="s">
        <v>101</v>
      </c>
      <c r="E15" s="23" t="s">
        <v>342</v>
      </c>
      <c r="F15" s="23" t="s">
        <v>343</v>
      </c>
      <c r="G15" s="23" t="s">
        <v>340</v>
      </c>
      <c r="H15" s="23" t="s">
        <v>344</v>
      </c>
      <c r="I15" s="23" t="s">
        <v>120</v>
      </c>
      <c r="J15" s="23" t="s">
        <v>353</v>
      </c>
      <c r="K15" s="23" t="s">
        <v>168</v>
      </c>
      <c r="L15" s="23" t="s">
        <v>354</v>
      </c>
      <c r="M15" s="23" t="s">
        <v>54</v>
      </c>
      <c r="N15" s="35">
        <f t="array" ref="N15">IF(M15="","",IFERROR(INDEX(Parameters!$B$9:$B$11,MATCH(M15,Parameters!$A$9:$A$11,0)),"?"))</f>
        <v>4</v>
      </c>
      <c r="O15" s="23" t="s">
        <v>116</v>
      </c>
      <c r="P15" s="23" t="s">
        <v>95</v>
      </c>
      <c r="Q15" s="38">
        <f t="shared" si="1"/>
        <v>0</v>
      </c>
      <c r="R15" s="38">
        <f t="shared" si="2"/>
        <v>3</v>
      </c>
      <c r="S15" s="35">
        <f t="array" ref="S15">IF(Q15=1,IFERROR(INDEX(Parameters!$B$32:$B$37,MATCH(I15,Parameters!$A$32:$A$37,0)),0),0)</f>
        <v>0</v>
      </c>
      <c r="T15" s="4"/>
      <c r="U15" s="4"/>
      <c r="V15" s="4"/>
      <c r="W15" s="4"/>
      <c r="X15" s="4"/>
      <c r="Y15" s="4"/>
      <c r="Z15" s="4"/>
      <c r="AA15" s="4"/>
      <c r="AB15" s="4"/>
    </row>
    <row r="16" ht="24.0" customHeight="1">
      <c r="A16" s="23" t="s">
        <v>94</v>
      </c>
      <c r="B16" s="23" t="s">
        <v>357</v>
      </c>
      <c r="C16" s="23" t="s">
        <v>358</v>
      </c>
      <c r="D16" s="23" t="s">
        <v>101</v>
      </c>
      <c r="E16" s="23" t="s">
        <v>359</v>
      </c>
      <c r="F16" s="23" t="s">
        <v>360</v>
      </c>
      <c r="G16" s="23" t="s">
        <v>340</v>
      </c>
      <c r="H16" s="23" t="s">
        <v>117</v>
      </c>
      <c r="I16" s="23" t="s">
        <v>254</v>
      </c>
      <c r="J16" s="23" t="s">
        <v>361</v>
      </c>
      <c r="K16" s="23" t="s">
        <v>129</v>
      </c>
      <c r="L16" s="23" t="s">
        <v>362</v>
      </c>
      <c r="M16" s="23" t="s">
        <v>107</v>
      </c>
      <c r="N16" s="35">
        <f t="array" ref="N16">IF(M16="","",IFERROR(INDEX(Parameters!$B$9:$B$11,MATCH(M16,Parameters!$A$9:$A$11,0)),"?"))</f>
        <v>16</v>
      </c>
      <c r="O16" s="23" t="s">
        <v>116</v>
      </c>
      <c r="P16" s="23" t="s">
        <v>116</v>
      </c>
      <c r="Q16" s="38">
        <f t="shared" si="1"/>
        <v>1</v>
      </c>
      <c r="R16" s="38">
        <f t="shared" si="2"/>
        <v>4</v>
      </c>
      <c r="S16" s="35">
        <f t="array" ref="S16">IF(Q16=1,IFERROR(INDEX(Parameters!$B$32:$B$37,MATCH(I16,Parameters!$A$32:$A$37,0)),0),0)</f>
        <v>0</v>
      </c>
      <c r="T16" s="4"/>
      <c r="U16" s="4"/>
      <c r="V16" s="4"/>
      <c r="W16" s="4"/>
      <c r="X16" s="4"/>
      <c r="Y16" s="4"/>
      <c r="Z16" s="4"/>
      <c r="AA16" s="4"/>
      <c r="AB16" s="4"/>
    </row>
    <row r="17" ht="24.0" customHeight="1">
      <c r="A17" s="23" t="s">
        <v>94</v>
      </c>
      <c r="B17" s="23" t="s">
        <v>364</v>
      </c>
      <c r="C17" s="23" t="s">
        <v>365</v>
      </c>
      <c r="D17" s="23" t="s">
        <v>101</v>
      </c>
      <c r="E17" s="23" t="s">
        <v>366</v>
      </c>
      <c r="F17" s="23" t="s">
        <v>367</v>
      </c>
      <c r="G17" s="23" t="s">
        <v>357</v>
      </c>
      <c r="H17" s="23" t="s">
        <v>344</v>
      </c>
      <c r="I17" s="23" t="s">
        <v>254</v>
      </c>
      <c r="J17" s="23" t="s">
        <v>368</v>
      </c>
      <c r="K17" s="23" t="s">
        <v>168</v>
      </c>
      <c r="L17" s="23" t="s">
        <v>369</v>
      </c>
      <c r="M17" s="23" t="s">
        <v>96</v>
      </c>
      <c r="N17" s="35">
        <f t="array" ref="N17">IF(M17="","",IFERROR(INDEX(Parameters!$B$9:$B$11,MATCH(M17,Parameters!$A$9:$A$11,0)),"?"))</f>
        <v>8</v>
      </c>
      <c r="O17" s="23" t="s">
        <v>116</v>
      </c>
      <c r="P17" s="23" t="s">
        <v>116</v>
      </c>
      <c r="Q17" s="38">
        <f t="shared" si="1"/>
        <v>1</v>
      </c>
      <c r="R17" s="38">
        <f t="shared" si="2"/>
        <v>5</v>
      </c>
      <c r="S17" s="35">
        <f t="array" ref="S17">IF(Q17=1,IFERROR(INDEX(Parameters!$B$32:$B$37,MATCH(I17,Parameters!$A$32:$A$37,0)),0),0)</f>
        <v>0</v>
      </c>
      <c r="T17" s="4"/>
      <c r="U17" s="4"/>
      <c r="V17" s="4"/>
      <c r="W17" s="4"/>
      <c r="X17" s="4"/>
      <c r="Y17" s="4"/>
      <c r="Z17" s="4"/>
      <c r="AA17" s="4"/>
      <c r="AB17" s="4"/>
    </row>
    <row r="18" ht="24.0" customHeight="1">
      <c r="A18" s="23" t="s">
        <v>115</v>
      </c>
      <c r="B18" s="23" t="s">
        <v>370</v>
      </c>
      <c r="C18" s="23" t="s">
        <v>371</v>
      </c>
      <c r="D18" s="23" t="s">
        <v>101</v>
      </c>
      <c r="E18" s="23" t="s">
        <v>372</v>
      </c>
      <c r="F18" s="23" t="s">
        <v>373</v>
      </c>
      <c r="G18" s="23" t="s">
        <v>104</v>
      </c>
      <c r="H18" s="23" t="s">
        <v>117</v>
      </c>
      <c r="I18" s="23" t="s">
        <v>227</v>
      </c>
      <c r="J18" s="23" t="s">
        <v>374</v>
      </c>
      <c r="K18" s="23" t="s">
        <v>129</v>
      </c>
      <c r="L18" s="23" t="s">
        <v>375</v>
      </c>
      <c r="M18" s="23" t="s">
        <v>54</v>
      </c>
      <c r="N18" s="35">
        <f t="array" ref="N18">IF(M18="","",IFERROR(INDEX(Parameters!$B$9:$B$11,MATCH(M18,Parameters!$A$9:$A$11,0)),"?"))</f>
        <v>4</v>
      </c>
      <c r="O18" s="23" t="s">
        <v>116</v>
      </c>
      <c r="P18" s="23" t="s">
        <v>95</v>
      </c>
      <c r="Q18" s="38">
        <f t="shared" si="1"/>
        <v>1</v>
      </c>
      <c r="R18" s="38">
        <f t="shared" si="2"/>
        <v>6</v>
      </c>
      <c r="S18" s="35">
        <f t="array" ref="S18">IF(Q18=1,IFERROR(INDEX(Parameters!$B$32:$B$37,MATCH(I18,Parameters!$A$32:$A$37,0)),0),0)</f>
        <v>4</v>
      </c>
      <c r="T18" s="4"/>
      <c r="U18" s="4"/>
      <c r="V18" s="4"/>
      <c r="W18" s="4"/>
      <c r="X18" s="4"/>
      <c r="Y18" s="4"/>
      <c r="Z18" s="4"/>
      <c r="AA18" s="4"/>
      <c r="AB18" s="4"/>
    </row>
    <row r="19" ht="24.0" customHeight="1">
      <c r="A19" s="23" t="s">
        <v>115</v>
      </c>
      <c r="B19" s="23" t="s">
        <v>370</v>
      </c>
      <c r="C19" s="23" t="s">
        <v>371</v>
      </c>
      <c r="D19" s="23" t="s">
        <v>101</v>
      </c>
      <c r="E19" s="23" t="s">
        <v>372</v>
      </c>
      <c r="F19" s="23" t="s">
        <v>373</v>
      </c>
      <c r="G19" s="23" t="s">
        <v>370</v>
      </c>
      <c r="H19" s="23" t="s">
        <v>117</v>
      </c>
      <c r="I19" s="23" t="s">
        <v>227</v>
      </c>
      <c r="J19" s="23" t="s">
        <v>376</v>
      </c>
      <c r="K19" s="23" t="s">
        <v>168</v>
      </c>
      <c r="L19" s="23" t="s">
        <v>377</v>
      </c>
      <c r="M19" s="23" t="s">
        <v>54</v>
      </c>
      <c r="N19" s="35">
        <f t="array" ref="N19">IF(M19="","",IFERROR(INDEX(Parameters!$B$9:$B$11,MATCH(M19,Parameters!$A$9:$A$11,0)),"?"))</f>
        <v>4</v>
      </c>
      <c r="O19" s="23" t="s">
        <v>116</v>
      </c>
      <c r="P19" s="23" t="s">
        <v>95</v>
      </c>
      <c r="Q19" s="38">
        <f t="shared" si="1"/>
        <v>0</v>
      </c>
      <c r="R19" s="38">
        <f t="shared" si="2"/>
        <v>6</v>
      </c>
      <c r="S19" s="35">
        <f t="array" ref="S19">IF(Q19=1,IFERROR(INDEX(Parameters!$B$32:$B$37,MATCH(I19,Parameters!$A$32:$A$37,0)),0),0)</f>
        <v>0</v>
      </c>
      <c r="T19" s="4"/>
      <c r="U19" s="4"/>
      <c r="V19" s="4"/>
      <c r="W19" s="4"/>
      <c r="X19" s="4"/>
      <c r="Y19" s="4"/>
      <c r="Z19" s="4"/>
      <c r="AA19" s="4"/>
      <c r="AB19" s="4"/>
    </row>
    <row r="20" ht="24.0" customHeight="1">
      <c r="A20" s="23" t="s">
        <v>115</v>
      </c>
      <c r="B20" s="23" t="s">
        <v>378</v>
      </c>
      <c r="C20" s="23" t="s">
        <v>119</v>
      </c>
      <c r="D20" s="23" t="s">
        <v>101</v>
      </c>
      <c r="E20" s="23" t="s">
        <v>379</v>
      </c>
      <c r="F20" s="23" t="s">
        <v>380</v>
      </c>
      <c r="G20" s="23" t="s">
        <v>370</v>
      </c>
      <c r="H20" s="23" t="s">
        <v>117</v>
      </c>
      <c r="I20" s="23" t="s">
        <v>120</v>
      </c>
      <c r="J20" s="23" t="s">
        <v>381</v>
      </c>
      <c r="K20" s="23" t="s">
        <v>129</v>
      </c>
      <c r="L20" s="23" t="s">
        <v>382</v>
      </c>
      <c r="M20" s="23" t="s">
        <v>96</v>
      </c>
      <c r="N20" s="35">
        <f t="array" ref="N20">IF(M20="","",IFERROR(INDEX(Parameters!$B$9:$B$11,MATCH(M20,Parameters!$A$9:$A$11,0)),"?"))</f>
        <v>8</v>
      </c>
      <c r="O20" s="23" t="s">
        <v>116</v>
      </c>
      <c r="P20" s="23" t="s">
        <v>95</v>
      </c>
      <c r="Q20" s="38">
        <f t="shared" si="1"/>
        <v>1</v>
      </c>
      <c r="R20" s="38">
        <f t="shared" si="2"/>
        <v>7</v>
      </c>
      <c r="S20" s="35">
        <f t="array" ref="S20">IF(Q20=1,IFERROR(INDEX(Parameters!$B$32:$B$37,MATCH(I20,Parameters!$A$32:$A$37,0)),0),0)</f>
        <v>4</v>
      </c>
      <c r="T20" s="4"/>
      <c r="U20" s="4"/>
      <c r="V20" s="4"/>
      <c r="W20" s="4"/>
      <c r="X20" s="4"/>
      <c r="Y20" s="4"/>
      <c r="Z20" s="4"/>
      <c r="AA20" s="4"/>
      <c r="AB20" s="4"/>
    </row>
    <row r="21" ht="24.0" customHeight="1">
      <c r="A21" s="23" t="s">
        <v>115</v>
      </c>
      <c r="B21" s="23" t="s">
        <v>378</v>
      </c>
      <c r="C21" s="23" t="s">
        <v>119</v>
      </c>
      <c r="D21" s="23" t="s">
        <v>101</v>
      </c>
      <c r="E21" s="23" t="s">
        <v>379</v>
      </c>
      <c r="F21" s="23" t="s">
        <v>380</v>
      </c>
      <c r="G21" s="23" t="s">
        <v>378</v>
      </c>
      <c r="H21" s="23" t="s">
        <v>117</v>
      </c>
      <c r="I21" s="23" t="s">
        <v>120</v>
      </c>
      <c r="J21" s="23" t="s">
        <v>383</v>
      </c>
      <c r="K21" s="23" t="s">
        <v>168</v>
      </c>
      <c r="L21" s="23" t="s">
        <v>384</v>
      </c>
      <c r="M21" s="23" t="s">
        <v>54</v>
      </c>
      <c r="N21" s="35">
        <f t="array" ref="N21">IF(M21="","",IFERROR(INDEX(Parameters!$B$9:$B$11,MATCH(M21,Parameters!$A$9:$A$11,0)),"?"))</f>
        <v>4</v>
      </c>
      <c r="O21" s="23" t="s">
        <v>116</v>
      </c>
      <c r="P21" s="23" t="s">
        <v>95</v>
      </c>
      <c r="Q21" s="38">
        <f t="shared" si="1"/>
        <v>0</v>
      </c>
      <c r="R21" s="38">
        <f t="shared" si="2"/>
        <v>7</v>
      </c>
      <c r="S21" s="35">
        <f t="array" ref="S21">IF(Q21=1,IFERROR(INDEX(Parameters!$B$32:$B$37,MATCH(I21,Parameters!$A$32:$A$37,0)),0),0)</f>
        <v>0</v>
      </c>
      <c r="T21" s="4"/>
      <c r="U21" s="4"/>
      <c r="V21" s="4"/>
      <c r="W21" s="4"/>
      <c r="X21" s="4"/>
      <c r="Y21" s="4"/>
      <c r="Z21" s="4"/>
      <c r="AA21" s="4"/>
      <c r="AB21" s="4"/>
    </row>
    <row r="22" ht="24.0" customHeight="1">
      <c r="A22" s="23" t="s">
        <v>115</v>
      </c>
      <c r="B22" s="23" t="s">
        <v>385</v>
      </c>
      <c r="C22" s="23" t="s">
        <v>386</v>
      </c>
      <c r="D22" s="23" t="s">
        <v>101</v>
      </c>
      <c r="E22" s="23" t="s">
        <v>387</v>
      </c>
      <c r="F22" s="23" t="s">
        <v>388</v>
      </c>
      <c r="G22" s="23" t="s">
        <v>378</v>
      </c>
      <c r="H22" s="23" t="s">
        <v>389</v>
      </c>
      <c r="I22" s="23" t="s">
        <v>227</v>
      </c>
      <c r="J22" s="23" t="s">
        <v>390</v>
      </c>
      <c r="K22" s="23" t="s">
        <v>129</v>
      </c>
      <c r="L22" s="23" t="s">
        <v>391</v>
      </c>
      <c r="M22" s="23" t="s">
        <v>54</v>
      </c>
      <c r="N22" s="35">
        <f t="array" ref="N22">IF(M22="","",IFERROR(INDEX(Parameters!$B$9:$B$11,MATCH(M22,Parameters!$A$9:$A$11,0)),"?"))</f>
        <v>4</v>
      </c>
      <c r="O22" s="23" t="s">
        <v>116</v>
      </c>
      <c r="P22" s="23" t="s">
        <v>95</v>
      </c>
      <c r="Q22" s="38">
        <f t="shared" si="1"/>
        <v>1</v>
      </c>
      <c r="R22" s="38">
        <f t="shared" si="2"/>
        <v>8</v>
      </c>
      <c r="S22" s="35">
        <f t="array" ref="S22">IF(Q22=1,IFERROR(INDEX(Parameters!$B$32:$B$37,MATCH(I22,Parameters!$A$32:$A$37,0)),0),0)</f>
        <v>4</v>
      </c>
      <c r="T22" s="4"/>
      <c r="U22" s="4"/>
      <c r="V22" s="4"/>
      <c r="W22" s="4"/>
      <c r="X22" s="4"/>
      <c r="Y22" s="4"/>
      <c r="Z22" s="4"/>
      <c r="AA22" s="4"/>
      <c r="AB22" s="4"/>
    </row>
    <row r="23" ht="24.0" customHeight="1">
      <c r="A23" s="23" t="s">
        <v>115</v>
      </c>
      <c r="B23" s="23" t="s">
        <v>385</v>
      </c>
      <c r="C23" s="23" t="s">
        <v>386</v>
      </c>
      <c r="D23" s="23" t="s">
        <v>101</v>
      </c>
      <c r="E23" s="23" t="s">
        <v>387</v>
      </c>
      <c r="F23" s="23" t="s">
        <v>388</v>
      </c>
      <c r="G23" s="23" t="s">
        <v>385</v>
      </c>
      <c r="H23" s="23" t="s">
        <v>389</v>
      </c>
      <c r="I23" s="23" t="s">
        <v>227</v>
      </c>
      <c r="J23" s="23" t="s">
        <v>392</v>
      </c>
      <c r="K23" s="23" t="s">
        <v>168</v>
      </c>
      <c r="L23" s="23" t="s">
        <v>393</v>
      </c>
      <c r="M23" s="23" t="s">
        <v>54</v>
      </c>
      <c r="N23" s="35">
        <f t="array" ref="N23">IF(M23="","",IFERROR(INDEX(Parameters!$B$9:$B$11,MATCH(M23,Parameters!$A$9:$A$11,0)),"?"))</f>
        <v>4</v>
      </c>
      <c r="O23" s="23" t="s">
        <v>116</v>
      </c>
      <c r="P23" s="23" t="s">
        <v>95</v>
      </c>
      <c r="Q23" s="38">
        <f t="shared" si="1"/>
        <v>0</v>
      </c>
      <c r="R23" s="38">
        <f t="shared" si="2"/>
        <v>8</v>
      </c>
      <c r="S23" s="35">
        <f t="array" ref="S23">IF(Q23=1,IFERROR(INDEX(Parameters!$B$32:$B$37,MATCH(I23,Parameters!$A$32:$A$37,0)),0),0)</f>
        <v>0</v>
      </c>
      <c r="T23" s="4"/>
      <c r="U23" s="4"/>
      <c r="V23" s="4"/>
      <c r="W23" s="4"/>
      <c r="X23" s="4"/>
      <c r="Y23" s="4"/>
      <c r="Z23" s="4"/>
      <c r="AA23" s="4"/>
      <c r="AB23" s="4"/>
    </row>
    <row r="24" ht="24.0" customHeight="1">
      <c r="A24" s="23" t="s">
        <v>115</v>
      </c>
      <c r="B24" s="23" t="s">
        <v>394</v>
      </c>
      <c r="C24" s="23" t="s">
        <v>395</v>
      </c>
      <c r="D24" s="23" t="s">
        <v>101</v>
      </c>
      <c r="E24" s="23" t="s">
        <v>396</v>
      </c>
      <c r="F24" s="23" t="s">
        <v>397</v>
      </c>
      <c r="G24" s="23" t="s">
        <v>385</v>
      </c>
      <c r="H24" s="23" t="s">
        <v>389</v>
      </c>
      <c r="I24" s="23" t="s">
        <v>227</v>
      </c>
      <c r="J24" s="23" t="s">
        <v>398</v>
      </c>
      <c r="K24" s="23" t="s">
        <v>129</v>
      </c>
      <c r="L24" s="23" t="s">
        <v>399</v>
      </c>
      <c r="M24" s="23" t="s">
        <v>54</v>
      </c>
      <c r="N24" s="35">
        <f t="array" ref="N24">IF(M24="","",IFERROR(INDEX(Parameters!$B$9:$B$11,MATCH(M24,Parameters!$A$9:$A$11,0)),"?"))</f>
        <v>4</v>
      </c>
      <c r="O24" s="23" t="s">
        <v>116</v>
      </c>
      <c r="P24" s="23" t="s">
        <v>95</v>
      </c>
      <c r="Q24" s="38">
        <f t="shared" si="1"/>
        <v>1</v>
      </c>
      <c r="R24" s="38">
        <f t="shared" si="2"/>
        <v>9</v>
      </c>
      <c r="S24" s="35">
        <f t="array" ref="S24">IF(Q24=1,IFERROR(INDEX(Parameters!$B$32:$B$37,MATCH(I24,Parameters!$A$32:$A$37,0)),0),0)</f>
        <v>4</v>
      </c>
      <c r="T24" s="4"/>
      <c r="U24" s="4"/>
      <c r="V24" s="4"/>
      <c r="W24" s="4"/>
      <c r="X24" s="4"/>
      <c r="Y24" s="4"/>
      <c r="Z24" s="4"/>
      <c r="AA24" s="4"/>
      <c r="AB24" s="4"/>
    </row>
    <row r="25" ht="24.0" customHeight="1">
      <c r="A25" s="23" t="s">
        <v>115</v>
      </c>
      <c r="B25" s="23" t="s">
        <v>394</v>
      </c>
      <c r="C25" s="23" t="s">
        <v>395</v>
      </c>
      <c r="D25" s="23" t="s">
        <v>101</v>
      </c>
      <c r="E25" s="23" t="s">
        <v>396</v>
      </c>
      <c r="F25" s="23" t="s">
        <v>397</v>
      </c>
      <c r="G25" s="23" t="s">
        <v>394</v>
      </c>
      <c r="H25" s="23" t="s">
        <v>389</v>
      </c>
      <c r="I25" s="23" t="s">
        <v>227</v>
      </c>
      <c r="J25" s="23" t="s">
        <v>400</v>
      </c>
      <c r="K25" s="23" t="s">
        <v>168</v>
      </c>
      <c r="L25" s="23" t="s">
        <v>401</v>
      </c>
      <c r="M25" s="23" t="s">
        <v>54</v>
      </c>
      <c r="N25" s="35">
        <f t="array" ref="N25">IF(M25="","",IFERROR(INDEX(Parameters!$B$9:$B$11,MATCH(M25,Parameters!$A$9:$A$11,0)),"?"))</f>
        <v>4</v>
      </c>
      <c r="O25" s="23" t="s">
        <v>116</v>
      </c>
      <c r="P25" s="23" t="s">
        <v>95</v>
      </c>
      <c r="Q25" s="38">
        <f t="shared" si="1"/>
        <v>0</v>
      </c>
      <c r="R25" s="38">
        <f t="shared" si="2"/>
        <v>9</v>
      </c>
      <c r="S25" s="35">
        <f t="array" ref="S25">IF(Q25=1,IFERROR(INDEX(Parameters!$B$32:$B$37,MATCH(I25,Parameters!$A$32:$A$37,0)),0),0)</f>
        <v>0</v>
      </c>
      <c r="T25" s="4"/>
      <c r="U25" s="4"/>
      <c r="V25" s="4"/>
      <c r="W25" s="4"/>
      <c r="X25" s="4"/>
      <c r="Y25" s="4"/>
      <c r="Z25" s="4"/>
      <c r="AA25" s="4"/>
      <c r="AB25" s="4"/>
    </row>
    <row r="26" ht="24.0" customHeight="1">
      <c r="A26" s="23" t="s">
        <v>115</v>
      </c>
      <c r="B26" s="23" t="s">
        <v>403</v>
      </c>
      <c r="C26" s="23" t="s">
        <v>404</v>
      </c>
      <c r="D26" s="23" t="s">
        <v>101</v>
      </c>
      <c r="E26" s="23" t="s">
        <v>405</v>
      </c>
      <c r="F26" s="23" t="s">
        <v>406</v>
      </c>
      <c r="G26" s="23" t="s">
        <v>394</v>
      </c>
      <c r="H26" s="23" t="s">
        <v>117</v>
      </c>
      <c r="I26" s="23" t="s">
        <v>120</v>
      </c>
      <c r="J26" s="23" t="s">
        <v>407</v>
      </c>
      <c r="K26" s="23" t="s">
        <v>129</v>
      </c>
      <c r="L26" s="23" t="s">
        <v>408</v>
      </c>
      <c r="M26" s="23" t="s">
        <v>54</v>
      </c>
      <c r="N26" s="35">
        <f t="array" ref="N26">IF(M26="","",IFERROR(INDEX(Parameters!$B$9:$B$11,MATCH(M26,Parameters!$A$9:$A$11,0)),"?"))</f>
        <v>4</v>
      </c>
      <c r="O26" s="23" t="s">
        <v>116</v>
      </c>
      <c r="P26" s="23" t="s">
        <v>95</v>
      </c>
      <c r="Q26" s="38">
        <f t="shared" si="1"/>
        <v>1</v>
      </c>
      <c r="R26" s="38">
        <f t="shared" si="2"/>
        <v>10</v>
      </c>
      <c r="S26" s="35">
        <f t="array" ref="S26">IF(Q26=1,IFERROR(INDEX(Parameters!$B$32:$B$37,MATCH(I26,Parameters!$A$32:$A$37,0)),0),0)</f>
        <v>4</v>
      </c>
      <c r="T26" s="4"/>
      <c r="U26" s="4"/>
      <c r="V26" s="4"/>
      <c r="W26" s="4"/>
      <c r="X26" s="4"/>
      <c r="Y26" s="4"/>
      <c r="Z26" s="4"/>
      <c r="AA26" s="4"/>
      <c r="AB26" s="4"/>
    </row>
    <row r="27" ht="24.0" customHeight="1">
      <c r="A27" s="23" t="s">
        <v>115</v>
      </c>
      <c r="B27" s="23" t="s">
        <v>403</v>
      </c>
      <c r="C27" s="23" t="s">
        <v>404</v>
      </c>
      <c r="D27" s="23" t="s">
        <v>101</v>
      </c>
      <c r="E27" s="23" t="s">
        <v>405</v>
      </c>
      <c r="F27" s="23" t="s">
        <v>406</v>
      </c>
      <c r="G27" s="23" t="s">
        <v>403</v>
      </c>
      <c r="H27" s="23" t="s">
        <v>117</v>
      </c>
      <c r="I27" s="23" t="s">
        <v>120</v>
      </c>
      <c r="J27" s="23" t="s">
        <v>422</v>
      </c>
      <c r="K27" s="23" t="s">
        <v>168</v>
      </c>
      <c r="L27" s="23" t="s">
        <v>427</v>
      </c>
      <c r="M27" s="23" t="s">
        <v>54</v>
      </c>
      <c r="N27" s="35">
        <f t="array" ref="N27">IF(M27="","",IFERROR(INDEX(Parameters!$B$9:$B$11,MATCH(M27,Parameters!$A$9:$A$11,0)),"?"))</f>
        <v>4</v>
      </c>
      <c r="O27" s="23" t="s">
        <v>116</v>
      </c>
      <c r="P27" s="23" t="s">
        <v>95</v>
      </c>
      <c r="Q27" s="38">
        <f t="shared" si="1"/>
        <v>0</v>
      </c>
      <c r="R27" s="38">
        <f t="shared" si="2"/>
        <v>10</v>
      </c>
      <c r="S27" s="35">
        <f t="array" ref="S27">IF(Q27=1,IFERROR(INDEX(Parameters!$B$32:$B$37,MATCH(I27,Parameters!$A$32:$A$37,0)),0),0)</f>
        <v>0</v>
      </c>
      <c r="T27" s="4"/>
      <c r="U27" s="4"/>
      <c r="V27" s="4"/>
      <c r="W27" s="4"/>
      <c r="X27" s="4"/>
      <c r="Y27" s="4"/>
      <c r="Z27" s="4"/>
      <c r="AA27" s="4"/>
      <c r="AB27" s="4"/>
    </row>
    <row r="28" ht="24.0" customHeight="1">
      <c r="A28" s="23" t="s">
        <v>115</v>
      </c>
      <c r="B28" s="23" t="s">
        <v>446</v>
      </c>
      <c r="C28" s="23" t="s">
        <v>447</v>
      </c>
      <c r="D28" s="23" t="s">
        <v>101</v>
      </c>
      <c r="E28" s="23" t="s">
        <v>448</v>
      </c>
      <c r="F28" s="23" t="s">
        <v>449</v>
      </c>
      <c r="G28" s="23" t="s">
        <v>403</v>
      </c>
      <c r="H28" s="23" t="s">
        <v>344</v>
      </c>
      <c r="I28" s="23" t="s">
        <v>254</v>
      </c>
      <c r="J28" s="23" t="s">
        <v>453</v>
      </c>
      <c r="K28" s="23" t="s">
        <v>168</v>
      </c>
      <c r="L28" s="23" t="s">
        <v>454</v>
      </c>
      <c r="M28" s="23" t="s">
        <v>54</v>
      </c>
      <c r="N28" s="35">
        <f t="array" ref="N28">IF(M28="","",IFERROR(INDEX(Parameters!$B$9:$B$11,MATCH(M28,Parameters!$A$9:$A$11,0)),"?"))</f>
        <v>4</v>
      </c>
      <c r="O28" s="23" t="s">
        <v>116</v>
      </c>
      <c r="P28" s="23" t="s">
        <v>95</v>
      </c>
      <c r="Q28" s="38">
        <f t="shared" si="1"/>
        <v>1</v>
      </c>
      <c r="R28" s="38">
        <f t="shared" si="2"/>
        <v>11</v>
      </c>
      <c r="S28" s="35">
        <f t="array" ref="S28">IF(Q28=1,IFERROR(INDEX(Parameters!$B$32:$B$37,MATCH(I28,Parameters!$A$32:$A$37,0)),0),0)</f>
        <v>0</v>
      </c>
      <c r="T28" s="4"/>
      <c r="U28" s="4"/>
      <c r="V28" s="4"/>
      <c r="W28" s="4"/>
      <c r="X28" s="4"/>
      <c r="Y28" s="4"/>
      <c r="Z28" s="4"/>
      <c r="AA28" s="4"/>
      <c r="AB28" s="4"/>
    </row>
    <row r="29" ht="24.0" customHeight="1">
      <c r="A29" s="23" t="s">
        <v>115</v>
      </c>
      <c r="B29" s="23" t="s">
        <v>467</v>
      </c>
      <c r="C29" s="23" t="s">
        <v>468</v>
      </c>
      <c r="D29" s="23" t="s">
        <v>101</v>
      </c>
      <c r="E29" s="23" t="s">
        <v>469</v>
      </c>
      <c r="F29" s="23" t="s">
        <v>470</v>
      </c>
      <c r="G29" s="23" t="s">
        <v>446</v>
      </c>
      <c r="H29" s="23" t="s">
        <v>117</v>
      </c>
      <c r="I29" s="23" t="s">
        <v>254</v>
      </c>
      <c r="J29" s="23" t="s">
        <v>471</v>
      </c>
      <c r="K29" s="23" t="s">
        <v>168</v>
      </c>
      <c r="L29" s="23" t="s">
        <v>472</v>
      </c>
      <c r="M29" s="23" t="s">
        <v>96</v>
      </c>
      <c r="N29" s="35">
        <f t="array" ref="N29">IF(M29="","",IFERROR(INDEX(Parameters!$B$9:$B$11,MATCH(M29,Parameters!$A$9:$A$11,0)),"?"))</f>
        <v>8</v>
      </c>
      <c r="O29" s="23" t="s">
        <v>116</v>
      </c>
      <c r="P29" s="23" t="s">
        <v>95</v>
      </c>
      <c r="Q29" s="38">
        <f t="shared" si="1"/>
        <v>1</v>
      </c>
      <c r="R29" s="38">
        <f t="shared" si="2"/>
        <v>12</v>
      </c>
      <c r="S29" s="35">
        <f t="array" ref="S29">IF(Q29=1,IFERROR(INDEX(Parameters!$B$32:$B$37,MATCH(I29,Parameters!$A$32:$A$37,0)),0),0)</f>
        <v>0</v>
      </c>
      <c r="T29" s="4"/>
      <c r="U29" s="4"/>
      <c r="V29" s="4"/>
      <c r="W29" s="4"/>
      <c r="X29" s="4"/>
      <c r="Y29" s="4"/>
      <c r="Z29" s="4"/>
      <c r="AA29" s="4"/>
      <c r="AB29" s="4"/>
    </row>
    <row r="30" ht="24.0" customHeight="1">
      <c r="A30" s="23" t="s">
        <v>115</v>
      </c>
      <c r="B30" s="23" t="s">
        <v>476</v>
      </c>
      <c r="C30" s="23" t="s">
        <v>477</v>
      </c>
      <c r="D30" s="23" t="s">
        <v>101</v>
      </c>
      <c r="E30" s="23" t="s">
        <v>478</v>
      </c>
      <c r="F30" s="23" t="s">
        <v>479</v>
      </c>
      <c r="G30" s="23" t="s">
        <v>467</v>
      </c>
      <c r="H30" s="23" t="s">
        <v>117</v>
      </c>
      <c r="I30" s="23" t="s">
        <v>120</v>
      </c>
      <c r="J30" s="23" t="s">
        <v>480</v>
      </c>
      <c r="K30" s="23" t="s">
        <v>129</v>
      </c>
      <c r="L30" s="23" t="s">
        <v>482</v>
      </c>
      <c r="M30" s="23" t="s">
        <v>96</v>
      </c>
      <c r="N30" s="35">
        <f t="array" ref="N30">IF(M30="","",IFERROR(INDEX(Parameters!$B$9:$B$11,MATCH(M30,Parameters!$A$9:$A$11,0)),"?"))</f>
        <v>8</v>
      </c>
      <c r="O30" s="23" t="s">
        <v>116</v>
      </c>
      <c r="P30" s="23" t="s">
        <v>95</v>
      </c>
      <c r="Q30" s="38">
        <f t="shared" si="1"/>
        <v>1</v>
      </c>
      <c r="R30" s="38">
        <f t="shared" si="2"/>
        <v>13</v>
      </c>
      <c r="S30" s="35">
        <f t="array" ref="S30">IF(Q30=1,IFERROR(INDEX(Parameters!$B$32:$B$37,MATCH(I30,Parameters!$A$32:$A$37,0)),0),0)</f>
        <v>4</v>
      </c>
      <c r="T30" s="4"/>
      <c r="U30" s="4"/>
      <c r="V30" s="4"/>
      <c r="W30" s="4"/>
      <c r="X30" s="4"/>
      <c r="Y30" s="4"/>
      <c r="Z30" s="4"/>
      <c r="AA30" s="4"/>
      <c r="AB30" s="4"/>
    </row>
    <row r="31" ht="24.0" customHeight="1">
      <c r="A31" s="23" t="s">
        <v>115</v>
      </c>
      <c r="B31" s="23" t="s">
        <v>476</v>
      </c>
      <c r="C31" s="23" t="s">
        <v>477</v>
      </c>
      <c r="D31" s="23" t="s">
        <v>101</v>
      </c>
      <c r="E31" s="23" t="s">
        <v>478</v>
      </c>
      <c r="F31" s="23" t="s">
        <v>479</v>
      </c>
      <c r="G31" s="23" t="s">
        <v>476</v>
      </c>
      <c r="H31" s="23" t="s">
        <v>117</v>
      </c>
      <c r="I31" s="23" t="s">
        <v>120</v>
      </c>
      <c r="J31" s="23" t="s">
        <v>491</v>
      </c>
      <c r="K31" s="23" t="s">
        <v>168</v>
      </c>
      <c r="L31" s="23" t="s">
        <v>492</v>
      </c>
      <c r="M31" s="23" t="s">
        <v>96</v>
      </c>
      <c r="N31" s="35">
        <f t="array" ref="N31">IF(M31="","",IFERROR(INDEX(Parameters!$B$9:$B$11,MATCH(M31,Parameters!$A$9:$A$11,0)),"?"))</f>
        <v>8</v>
      </c>
      <c r="O31" s="23" t="s">
        <v>116</v>
      </c>
      <c r="P31" s="23" t="s">
        <v>95</v>
      </c>
      <c r="Q31" s="38">
        <f t="shared" si="1"/>
        <v>0</v>
      </c>
      <c r="R31" s="38">
        <f t="shared" si="2"/>
        <v>13</v>
      </c>
      <c r="S31" s="35">
        <f t="array" ref="S31">IF(Q31=1,IFERROR(INDEX(Parameters!$B$32:$B$37,MATCH(I31,Parameters!$A$32:$A$37,0)),0),0)</f>
        <v>0</v>
      </c>
      <c r="T31" s="4"/>
      <c r="U31" s="4"/>
      <c r="V31" s="4"/>
      <c r="W31" s="4"/>
      <c r="X31" s="4"/>
      <c r="Y31" s="4"/>
      <c r="Z31" s="4"/>
      <c r="AA31" s="4"/>
      <c r="AB31" s="4"/>
    </row>
    <row r="32" ht="24.0" customHeight="1">
      <c r="A32" s="23" t="s">
        <v>115</v>
      </c>
      <c r="B32" s="23" t="s">
        <v>503</v>
      </c>
      <c r="C32" s="23" t="s">
        <v>504</v>
      </c>
      <c r="D32" s="23" t="s">
        <v>101</v>
      </c>
      <c r="E32" s="23" t="s">
        <v>505</v>
      </c>
      <c r="F32" s="23" t="s">
        <v>506</v>
      </c>
      <c r="G32" s="23" t="s">
        <v>476</v>
      </c>
      <c r="H32" s="23" t="s">
        <v>389</v>
      </c>
      <c r="I32" s="23" t="s">
        <v>227</v>
      </c>
      <c r="J32" s="23" t="s">
        <v>507</v>
      </c>
      <c r="K32" s="23" t="s">
        <v>129</v>
      </c>
      <c r="L32" s="23" t="s">
        <v>508</v>
      </c>
      <c r="M32" s="23" t="s">
        <v>54</v>
      </c>
      <c r="N32" s="35">
        <f t="array" ref="N32">IF(M32="","",IFERROR(INDEX(Parameters!$B$9:$B$11,MATCH(M32,Parameters!$A$9:$A$11,0)),"?"))</f>
        <v>4</v>
      </c>
      <c r="O32" s="23" t="s">
        <v>116</v>
      </c>
      <c r="P32" s="23" t="s">
        <v>95</v>
      </c>
      <c r="Q32" s="38">
        <f t="shared" si="1"/>
        <v>1</v>
      </c>
      <c r="R32" s="38">
        <f t="shared" si="2"/>
        <v>14</v>
      </c>
      <c r="S32" s="35">
        <f t="array" ref="S32">IF(Q32=1,IFERROR(INDEX(Parameters!$B$32:$B$37,MATCH(I32,Parameters!$A$32:$A$37,0)),0),0)</f>
        <v>4</v>
      </c>
      <c r="T32" s="4"/>
      <c r="U32" s="4"/>
      <c r="V32" s="4"/>
      <c r="W32" s="4"/>
      <c r="X32" s="4"/>
      <c r="Y32" s="4"/>
      <c r="Z32" s="4"/>
      <c r="AA32" s="4"/>
      <c r="AB32" s="4"/>
    </row>
    <row r="33" ht="24.0" customHeight="1">
      <c r="A33" s="23" t="s">
        <v>115</v>
      </c>
      <c r="B33" s="23" t="s">
        <v>503</v>
      </c>
      <c r="C33" s="23" t="s">
        <v>504</v>
      </c>
      <c r="D33" s="23" t="s">
        <v>101</v>
      </c>
      <c r="E33" s="23" t="s">
        <v>505</v>
      </c>
      <c r="F33" s="23" t="s">
        <v>506</v>
      </c>
      <c r="G33" s="23" t="s">
        <v>503</v>
      </c>
      <c r="H33" s="23" t="s">
        <v>389</v>
      </c>
      <c r="I33" s="23" t="s">
        <v>227</v>
      </c>
      <c r="J33" s="23" t="s">
        <v>518</v>
      </c>
      <c r="K33" s="23" t="s">
        <v>168</v>
      </c>
      <c r="L33" s="23" t="s">
        <v>519</v>
      </c>
      <c r="M33" s="23" t="s">
        <v>54</v>
      </c>
      <c r="N33" s="35">
        <f t="array" ref="N33">IF(M33="","",IFERROR(INDEX(Parameters!$B$9:$B$11,MATCH(M33,Parameters!$A$9:$A$11,0)),"?"))</f>
        <v>4</v>
      </c>
      <c r="O33" s="23" t="s">
        <v>116</v>
      </c>
      <c r="P33" s="23" t="s">
        <v>95</v>
      </c>
      <c r="Q33" s="38">
        <f t="shared" si="1"/>
        <v>0</v>
      </c>
      <c r="R33" s="38">
        <f t="shared" si="2"/>
        <v>14</v>
      </c>
      <c r="S33" s="35">
        <f t="array" ref="S33">IF(Q33=1,IFERROR(INDEX(Parameters!$B$32:$B$37,MATCH(I33,Parameters!$A$32:$A$37,0)),0),0)</f>
        <v>0</v>
      </c>
      <c r="T33" s="4"/>
      <c r="U33" s="4"/>
      <c r="V33" s="4"/>
      <c r="W33" s="4"/>
      <c r="X33" s="4"/>
      <c r="Y33" s="4"/>
      <c r="Z33" s="4"/>
      <c r="AA33" s="4"/>
      <c r="AB33" s="4"/>
    </row>
    <row r="34" ht="24.0" customHeight="1">
      <c r="A34" s="23" t="s">
        <v>115</v>
      </c>
      <c r="B34" s="23" t="s">
        <v>521</v>
      </c>
      <c r="C34" s="23" t="s">
        <v>522</v>
      </c>
      <c r="D34" s="23" t="s">
        <v>101</v>
      </c>
      <c r="E34" s="23" t="s">
        <v>523</v>
      </c>
      <c r="F34" s="23" t="s">
        <v>524</v>
      </c>
      <c r="G34" s="23" t="s">
        <v>503</v>
      </c>
      <c r="H34" s="23" t="s">
        <v>389</v>
      </c>
      <c r="I34" s="23" t="s">
        <v>227</v>
      </c>
      <c r="J34" s="23" t="s">
        <v>525</v>
      </c>
      <c r="K34" s="23" t="s">
        <v>129</v>
      </c>
      <c r="L34" s="23" t="s">
        <v>526</v>
      </c>
      <c r="M34" s="23" t="s">
        <v>96</v>
      </c>
      <c r="N34" s="35">
        <f t="array" ref="N34">IF(M34="","",IFERROR(INDEX(Parameters!$B$9:$B$11,MATCH(M34,Parameters!$A$9:$A$11,0)),"?"))</f>
        <v>8</v>
      </c>
      <c r="O34" s="23" t="s">
        <v>116</v>
      </c>
      <c r="P34" s="23" t="s">
        <v>95</v>
      </c>
      <c r="Q34" s="38">
        <f t="shared" si="1"/>
        <v>1</v>
      </c>
      <c r="R34" s="38">
        <f t="shared" si="2"/>
        <v>15</v>
      </c>
      <c r="S34" s="35">
        <f t="array" ref="S34">IF(Q34=1,IFERROR(INDEX(Parameters!$B$32:$B$37,MATCH(I34,Parameters!$A$32:$A$37,0)),0),0)</f>
        <v>4</v>
      </c>
      <c r="T34" s="4"/>
      <c r="U34" s="4"/>
      <c r="V34" s="4"/>
      <c r="W34" s="4"/>
      <c r="X34" s="4"/>
      <c r="Y34" s="4"/>
      <c r="Z34" s="4"/>
      <c r="AA34" s="4"/>
      <c r="AB34" s="4"/>
    </row>
    <row r="35" ht="24.0" customHeight="1">
      <c r="A35" s="23" t="s">
        <v>115</v>
      </c>
      <c r="B35" s="23" t="s">
        <v>521</v>
      </c>
      <c r="C35" s="23" t="s">
        <v>522</v>
      </c>
      <c r="D35" s="23" t="s">
        <v>101</v>
      </c>
      <c r="E35" s="23" t="s">
        <v>523</v>
      </c>
      <c r="F35" s="23" t="s">
        <v>524</v>
      </c>
      <c r="G35" s="23" t="s">
        <v>521</v>
      </c>
      <c r="H35" s="23" t="s">
        <v>389</v>
      </c>
      <c r="I35" s="23" t="s">
        <v>227</v>
      </c>
      <c r="J35" s="23" t="s">
        <v>529</v>
      </c>
      <c r="K35" s="23" t="s">
        <v>168</v>
      </c>
      <c r="L35" s="23" t="s">
        <v>530</v>
      </c>
      <c r="M35" s="23" t="s">
        <v>96</v>
      </c>
      <c r="N35" s="35">
        <f t="array" ref="N35">IF(M35="","",IFERROR(INDEX(Parameters!$B$9:$B$11,MATCH(M35,Parameters!$A$9:$A$11,0)),"?"))</f>
        <v>8</v>
      </c>
      <c r="O35" s="23" t="s">
        <v>116</v>
      </c>
      <c r="P35" s="23" t="s">
        <v>95</v>
      </c>
      <c r="Q35" s="38">
        <f t="shared" si="1"/>
        <v>0</v>
      </c>
      <c r="R35" s="38">
        <f t="shared" si="2"/>
        <v>15</v>
      </c>
      <c r="S35" s="35">
        <f t="array" ref="S35">IF(Q35=1,IFERROR(INDEX(Parameters!$B$32:$B$37,MATCH(I35,Parameters!$A$32:$A$37,0)),0),0)</f>
        <v>0</v>
      </c>
      <c r="T35" s="4"/>
      <c r="U35" s="4"/>
      <c r="V35" s="4"/>
      <c r="W35" s="4"/>
      <c r="X35" s="4"/>
      <c r="Y35" s="4"/>
      <c r="Z35" s="4"/>
      <c r="AA35" s="4"/>
      <c r="AB35" s="4"/>
    </row>
    <row r="36" ht="24.0" customHeight="1">
      <c r="A36" s="23" t="s">
        <v>108</v>
      </c>
      <c r="B36" s="23" t="s">
        <v>532</v>
      </c>
      <c r="C36" s="23" t="s">
        <v>533</v>
      </c>
      <c r="D36" s="23" t="s">
        <v>101</v>
      </c>
      <c r="E36" s="23" t="s">
        <v>534</v>
      </c>
      <c r="F36" s="23" t="s">
        <v>535</v>
      </c>
      <c r="G36" s="23" t="s">
        <v>104</v>
      </c>
      <c r="H36" s="23" t="s">
        <v>344</v>
      </c>
      <c r="I36" s="23" t="s">
        <v>120</v>
      </c>
      <c r="J36" s="23" t="s">
        <v>536</v>
      </c>
      <c r="K36" s="23" t="s">
        <v>129</v>
      </c>
      <c r="L36" s="23" t="s">
        <v>537</v>
      </c>
      <c r="M36" s="23" t="s">
        <v>96</v>
      </c>
      <c r="N36" s="35">
        <f t="array" ref="N36">IF(M36="","",IFERROR(INDEX(Parameters!$B$9:$B$11,MATCH(M36,Parameters!$A$9:$A$11,0)),"?"))</f>
        <v>8</v>
      </c>
      <c r="O36" s="23" t="s">
        <v>116</v>
      </c>
      <c r="P36" s="23" t="s">
        <v>95</v>
      </c>
      <c r="Q36" s="38">
        <f t="shared" si="1"/>
        <v>1</v>
      </c>
      <c r="R36" s="38">
        <f t="shared" si="2"/>
        <v>16</v>
      </c>
      <c r="S36" s="35">
        <f t="array" ref="S36">IF(Q36=1,IFERROR(INDEX(Parameters!$B$32:$B$37,MATCH(I36,Parameters!$A$32:$A$37,0)),0),0)</f>
        <v>4</v>
      </c>
      <c r="T36" s="4"/>
      <c r="U36" s="4"/>
      <c r="V36" s="4"/>
      <c r="W36" s="4"/>
      <c r="X36" s="4"/>
      <c r="Y36" s="4"/>
      <c r="Z36" s="4"/>
      <c r="AA36" s="4"/>
      <c r="AB36" s="4"/>
    </row>
    <row r="37" ht="24.0" customHeight="1">
      <c r="A37" s="23" t="s">
        <v>108</v>
      </c>
      <c r="B37" s="23" t="s">
        <v>532</v>
      </c>
      <c r="C37" s="23" t="s">
        <v>533</v>
      </c>
      <c r="D37" s="23" t="s">
        <v>101</v>
      </c>
      <c r="E37" s="23" t="s">
        <v>534</v>
      </c>
      <c r="F37" s="23" t="s">
        <v>535</v>
      </c>
      <c r="G37" s="23" t="s">
        <v>532</v>
      </c>
      <c r="H37" s="23" t="s">
        <v>344</v>
      </c>
      <c r="I37" s="23" t="s">
        <v>120</v>
      </c>
      <c r="J37" s="23" t="s">
        <v>538</v>
      </c>
      <c r="K37" s="23" t="s">
        <v>168</v>
      </c>
      <c r="L37" s="23" t="s">
        <v>539</v>
      </c>
      <c r="M37" s="23" t="s">
        <v>54</v>
      </c>
      <c r="N37" s="35">
        <f t="array" ref="N37">IF(M37="","",IFERROR(INDEX(Parameters!$B$9:$B$11,MATCH(M37,Parameters!$A$9:$A$11,0)),"?"))</f>
        <v>4</v>
      </c>
      <c r="O37" s="23" t="s">
        <v>116</v>
      </c>
      <c r="P37" s="23" t="s">
        <v>95</v>
      </c>
      <c r="Q37" s="38">
        <f t="shared" si="1"/>
        <v>0</v>
      </c>
      <c r="R37" s="38">
        <f t="shared" si="2"/>
        <v>16</v>
      </c>
      <c r="S37" s="35">
        <f t="array" ref="S37">IF(Q37=1,IFERROR(INDEX(Parameters!$B$32:$B$37,MATCH(I37,Parameters!$A$32:$A$37,0)),0),0)</f>
        <v>0</v>
      </c>
      <c r="T37" s="4"/>
      <c r="U37" s="4"/>
      <c r="V37" s="4"/>
      <c r="W37" s="4"/>
      <c r="X37" s="4"/>
      <c r="Y37" s="4"/>
      <c r="Z37" s="4"/>
      <c r="AA37" s="4"/>
      <c r="AB37" s="4"/>
    </row>
    <row r="38" ht="24.0" customHeight="1">
      <c r="A38" s="23" t="s">
        <v>108</v>
      </c>
      <c r="B38" s="23" t="s">
        <v>540</v>
      </c>
      <c r="C38" s="23" t="s">
        <v>541</v>
      </c>
      <c r="D38" s="23" t="s">
        <v>101</v>
      </c>
      <c r="E38" s="23" t="s">
        <v>542</v>
      </c>
      <c r="F38" s="23" t="s">
        <v>543</v>
      </c>
      <c r="G38" s="23" t="s">
        <v>532</v>
      </c>
      <c r="H38" s="23" t="s">
        <v>344</v>
      </c>
      <c r="I38" s="23" t="s">
        <v>254</v>
      </c>
      <c r="J38" s="23" t="s">
        <v>544</v>
      </c>
      <c r="K38" s="23" t="s">
        <v>168</v>
      </c>
      <c r="L38" s="23" t="s">
        <v>545</v>
      </c>
      <c r="M38" s="23" t="s">
        <v>54</v>
      </c>
      <c r="N38" s="35">
        <f t="array" ref="N38">IF(M38="","",IFERROR(INDEX(Parameters!$B$9:$B$11,MATCH(M38,Parameters!$A$9:$A$11,0)),"?"))</f>
        <v>4</v>
      </c>
      <c r="O38" s="23" t="s">
        <v>116</v>
      </c>
      <c r="P38" s="23" t="s">
        <v>95</v>
      </c>
      <c r="Q38" s="38">
        <f t="shared" si="1"/>
        <v>1</v>
      </c>
      <c r="R38" s="38">
        <f t="shared" si="2"/>
        <v>17</v>
      </c>
      <c r="S38" s="35">
        <f t="array" ref="S38">IF(Q38=1,IFERROR(INDEX(Parameters!$B$32:$B$37,MATCH(I38,Parameters!$A$32:$A$37,0)),0),0)</f>
        <v>0</v>
      </c>
      <c r="T38" s="4"/>
      <c r="U38" s="4"/>
      <c r="V38" s="4"/>
      <c r="W38" s="4"/>
      <c r="X38" s="4"/>
      <c r="Y38" s="4"/>
      <c r="Z38" s="4"/>
      <c r="AA38" s="4"/>
      <c r="AB38" s="4"/>
    </row>
    <row r="39" ht="24.0" customHeight="1">
      <c r="A39" s="23" t="s">
        <v>108</v>
      </c>
      <c r="B39" s="23" t="s">
        <v>546</v>
      </c>
      <c r="C39" s="23" t="s">
        <v>547</v>
      </c>
      <c r="D39" s="23" t="s">
        <v>93</v>
      </c>
      <c r="E39" s="23" t="s">
        <v>548</v>
      </c>
      <c r="F39" s="23" t="s">
        <v>549</v>
      </c>
      <c r="G39" s="23" t="s">
        <v>540</v>
      </c>
      <c r="H39" s="23" t="s">
        <v>344</v>
      </c>
      <c r="I39" s="23" t="s">
        <v>254</v>
      </c>
      <c r="J39" s="23" t="s">
        <v>550</v>
      </c>
      <c r="K39" s="23" t="s">
        <v>168</v>
      </c>
      <c r="L39" s="23" t="s">
        <v>551</v>
      </c>
      <c r="M39" s="23" t="s">
        <v>96</v>
      </c>
      <c r="N39" s="35">
        <f t="array" ref="N39">IF(M39="","",IFERROR(INDEX(Parameters!$B$9:$B$11,MATCH(M39,Parameters!$A$9:$A$11,0)),"?"))</f>
        <v>8</v>
      </c>
      <c r="O39" s="23" t="s">
        <v>116</v>
      </c>
      <c r="P39" s="23" t="s">
        <v>95</v>
      </c>
      <c r="Q39" s="38">
        <f t="shared" si="1"/>
        <v>1</v>
      </c>
      <c r="R39" s="38">
        <f t="shared" si="2"/>
        <v>18</v>
      </c>
      <c r="S39" s="35">
        <f t="array" ref="S39">IF(Q39=1,IFERROR(INDEX(Parameters!$B$32:$B$37,MATCH(I39,Parameters!$A$32:$A$37,0)),0),0)</f>
        <v>0</v>
      </c>
      <c r="T39" s="4"/>
      <c r="U39" s="4"/>
      <c r="V39" s="4"/>
      <c r="W39" s="4"/>
      <c r="X39" s="4"/>
      <c r="Y39" s="4"/>
      <c r="Z39" s="4"/>
      <c r="AA39" s="4"/>
      <c r="AB39" s="4"/>
    </row>
    <row r="40" ht="24.0" customHeight="1">
      <c r="A40" s="23" t="s">
        <v>108</v>
      </c>
      <c r="B40" s="23" t="s">
        <v>552</v>
      </c>
      <c r="C40" s="23" t="s">
        <v>553</v>
      </c>
      <c r="D40" s="23" t="s">
        <v>101</v>
      </c>
      <c r="E40" s="23" t="s">
        <v>554</v>
      </c>
      <c r="F40" s="23" t="s">
        <v>535</v>
      </c>
      <c r="G40" s="23" t="s">
        <v>546</v>
      </c>
      <c r="H40" s="23" t="s">
        <v>344</v>
      </c>
      <c r="I40" s="23" t="s">
        <v>227</v>
      </c>
      <c r="J40" s="23" t="s">
        <v>555</v>
      </c>
      <c r="K40" s="23" t="s">
        <v>129</v>
      </c>
      <c r="L40" s="23" t="s">
        <v>556</v>
      </c>
      <c r="M40" s="23" t="s">
        <v>96</v>
      </c>
      <c r="N40" s="35">
        <f t="array" ref="N40">IF(M40="","",IFERROR(INDEX(Parameters!$B$9:$B$11,MATCH(M40,Parameters!$A$9:$A$11,0)),"?"))</f>
        <v>8</v>
      </c>
      <c r="O40" s="23" t="s">
        <v>116</v>
      </c>
      <c r="P40" s="23" t="s">
        <v>95</v>
      </c>
      <c r="Q40" s="38">
        <f t="shared" si="1"/>
        <v>1</v>
      </c>
      <c r="R40" s="38">
        <f t="shared" si="2"/>
        <v>19</v>
      </c>
      <c r="S40" s="35">
        <f t="array" ref="S40">IF(Q40=1,IFERROR(INDEX(Parameters!$B$32:$B$37,MATCH(I40,Parameters!$A$32:$A$37,0)),0),0)</f>
        <v>4</v>
      </c>
      <c r="T40" s="4"/>
      <c r="U40" s="4"/>
      <c r="V40" s="4"/>
      <c r="W40" s="4"/>
      <c r="X40" s="4"/>
      <c r="Y40" s="4"/>
      <c r="Z40" s="4"/>
      <c r="AA40" s="4"/>
      <c r="AB40" s="4"/>
    </row>
    <row r="41" ht="24.0" customHeight="1">
      <c r="A41" s="23" t="s">
        <v>108</v>
      </c>
      <c r="B41" s="23" t="s">
        <v>552</v>
      </c>
      <c r="C41" s="23" t="s">
        <v>553</v>
      </c>
      <c r="D41" s="23" t="s">
        <v>101</v>
      </c>
      <c r="E41" s="23" t="s">
        <v>554</v>
      </c>
      <c r="F41" s="23" t="s">
        <v>535</v>
      </c>
      <c r="G41" s="23" t="s">
        <v>552</v>
      </c>
      <c r="H41" s="23" t="s">
        <v>344</v>
      </c>
      <c r="I41" s="23" t="s">
        <v>227</v>
      </c>
      <c r="J41" s="23" t="s">
        <v>559</v>
      </c>
      <c r="K41" s="23" t="s">
        <v>168</v>
      </c>
      <c r="L41" s="23" t="s">
        <v>560</v>
      </c>
      <c r="M41" s="23" t="s">
        <v>54</v>
      </c>
      <c r="N41" s="35">
        <f t="array" ref="N41">IF(M41="","",IFERROR(INDEX(Parameters!$B$9:$B$11,MATCH(M41,Parameters!$A$9:$A$11,0)),"?"))</f>
        <v>4</v>
      </c>
      <c r="O41" s="23" t="s">
        <v>116</v>
      </c>
      <c r="P41" s="23" t="s">
        <v>95</v>
      </c>
      <c r="Q41" s="38">
        <f t="shared" si="1"/>
        <v>0</v>
      </c>
      <c r="R41" s="38">
        <f t="shared" si="2"/>
        <v>19</v>
      </c>
      <c r="S41" s="35">
        <f t="array" ref="S41">IF(Q41=1,IFERROR(INDEX(Parameters!$B$32:$B$37,MATCH(I41,Parameters!$A$32:$A$37,0)),0),0)</f>
        <v>0</v>
      </c>
      <c r="T41" s="4"/>
      <c r="U41" s="4"/>
      <c r="V41" s="4"/>
      <c r="W41" s="4"/>
      <c r="X41" s="4"/>
      <c r="Y41" s="4"/>
      <c r="Z41" s="4"/>
      <c r="AA41" s="4"/>
      <c r="AB41" s="4"/>
    </row>
    <row r="42" ht="24.0" customHeight="1">
      <c r="A42" s="23" t="s">
        <v>108</v>
      </c>
      <c r="B42" s="23" t="s">
        <v>572</v>
      </c>
      <c r="C42" s="23" t="s">
        <v>573</v>
      </c>
      <c r="D42" s="23" t="s">
        <v>101</v>
      </c>
      <c r="E42" s="23" t="s">
        <v>574</v>
      </c>
      <c r="F42" s="23" t="s">
        <v>575</v>
      </c>
      <c r="G42" s="23" t="s">
        <v>552</v>
      </c>
      <c r="H42" s="23" t="s">
        <v>389</v>
      </c>
      <c r="I42" s="23" t="s">
        <v>227</v>
      </c>
      <c r="J42" s="23" t="s">
        <v>577</v>
      </c>
      <c r="K42" s="23" t="s">
        <v>129</v>
      </c>
      <c r="L42" s="23" t="s">
        <v>578</v>
      </c>
      <c r="M42" s="23" t="s">
        <v>96</v>
      </c>
      <c r="N42" s="35">
        <f t="array" ref="N42">IF(M42="","",IFERROR(INDEX(Parameters!$B$9:$B$11,MATCH(M42,Parameters!$A$9:$A$11,0)),"?"))</f>
        <v>8</v>
      </c>
      <c r="O42" s="23" t="s">
        <v>116</v>
      </c>
      <c r="P42" s="23" t="s">
        <v>95</v>
      </c>
      <c r="Q42" s="38">
        <f t="shared" si="1"/>
        <v>1</v>
      </c>
      <c r="R42" s="38">
        <f t="shared" si="2"/>
        <v>20</v>
      </c>
      <c r="S42" s="35">
        <f t="array" ref="S42">IF(Q42=1,IFERROR(INDEX(Parameters!$B$32:$B$37,MATCH(I42,Parameters!$A$32:$A$37,0)),0),0)</f>
        <v>4</v>
      </c>
      <c r="T42" s="4"/>
      <c r="U42" s="4"/>
      <c r="V42" s="4"/>
      <c r="W42" s="4"/>
      <c r="X42" s="4"/>
      <c r="Y42" s="4"/>
      <c r="Z42" s="4"/>
      <c r="AA42" s="4"/>
      <c r="AB42" s="4"/>
    </row>
    <row r="43" ht="24.0" customHeight="1">
      <c r="A43" s="23" t="s">
        <v>108</v>
      </c>
      <c r="B43" s="23" t="s">
        <v>572</v>
      </c>
      <c r="C43" s="23" t="s">
        <v>573</v>
      </c>
      <c r="D43" s="23" t="s">
        <v>101</v>
      </c>
      <c r="E43" s="23" t="s">
        <v>574</v>
      </c>
      <c r="F43" s="23" t="s">
        <v>575</v>
      </c>
      <c r="G43" s="23" t="s">
        <v>572</v>
      </c>
      <c r="H43" s="23" t="s">
        <v>389</v>
      </c>
      <c r="I43" s="23" t="s">
        <v>227</v>
      </c>
      <c r="J43" s="23" t="s">
        <v>586</v>
      </c>
      <c r="K43" s="23" t="s">
        <v>168</v>
      </c>
      <c r="L43" s="23" t="s">
        <v>587</v>
      </c>
      <c r="M43" s="23" t="s">
        <v>54</v>
      </c>
      <c r="N43" s="35">
        <f t="array" ref="N43">IF(M43="","",IFERROR(INDEX(Parameters!$B$9:$B$11,MATCH(M43,Parameters!$A$9:$A$11,0)),"?"))</f>
        <v>4</v>
      </c>
      <c r="O43" s="23" t="s">
        <v>116</v>
      </c>
      <c r="P43" s="23" t="s">
        <v>95</v>
      </c>
      <c r="Q43" s="38">
        <f t="shared" si="1"/>
        <v>0</v>
      </c>
      <c r="R43" s="38">
        <f t="shared" si="2"/>
        <v>20</v>
      </c>
      <c r="S43" s="35">
        <f t="array" ref="S43">IF(Q43=1,IFERROR(INDEX(Parameters!$B$32:$B$37,MATCH(I43,Parameters!$A$32:$A$37,0)),0),0)</f>
        <v>0</v>
      </c>
      <c r="T43" s="4"/>
      <c r="U43" s="4"/>
      <c r="V43" s="4"/>
      <c r="W43" s="4"/>
      <c r="X43" s="4"/>
      <c r="Y43" s="4"/>
      <c r="Z43" s="4"/>
      <c r="AA43" s="4"/>
      <c r="AB43" s="4"/>
    </row>
    <row r="44" ht="24.0" customHeight="1">
      <c r="A44" s="23" t="s">
        <v>108</v>
      </c>
      <c r="B44" s="23" t="s">
        <v>589</v>
      </c>
      <c r="C44" s="23" t="s">
        <v>590</v>
      </c>
      <c r="D44" s="23" t="s">
        <v>101</v>
      </c>
      <c r="E44" s="23" t="s">
        <v>591</v>
      </c>
      <c r="F44" s="23" t="s">
        <v>592</v>
      </c>
      <c r="G44" s="23" t="s">
        <v>572</v>
      </c>
      <c r="H44" s="23" t="s">
        <v>344</v>
      </c>
      <c r="I44" s="23" t="s">
        <v>227</v>
      </c>
      <c r="J44" s="23" t="s">
        <v>593</v>
      </c>
      <c r="K44" s="23" t="s">
        <v>129</v>
      </c>
      <c r="L44" s="23" t="s">
        <v>594</v>
      </c>
      <c r="M44" s="23" t="s">
        <v>54</v>
      </c>
      <c r="N44" s="35">
        <f t="array" ref="N44">IF(M44="","",IFERROR(INDEX(Parameters!$B$9:$B$11,MATCH(M44,Parameters!$A$9:$A$11,0)),"?"))</f>
        <v>4</v>
      </c>
      <c r="O44" s="23" t="s">
        <v>116</v>
      </c>
      <c r="P44" s="23" t="s">
        <v>95</v>
      </c>
      <c r="Q44" s="38">
        <f t="shared" si="1"/>
        <v>1</v>
      </c>
      <c r="R44" s="38">
        <f t="shared" si="2"/>
        <v>21</v>
      </c>
      <c r="S44" s="35">
        <f t="array" ref="S44">IF(Q44=1,IFERROR(INDEX(Parameters!$B$32:$B$37,MATCH(I44,Parameters!$A$32:$A$37,0)),0),0)</f>
        <v>4</v>
      </c>
      <c r="T44" s="4"/>
      <c r="U44" s="4"/>
      <c r="V44" s="4"/>
      <c r="W44" s="4"/>
      <c r="X44" s="4"/>
      <c r="Y44" s="4"/>
      <c r="Z44" s="4"/>
      <c r="AA44" s="4"/>
      <c r="AB44" s="4"/>
    </row>
    <row r="45" ht="24.0" customHeight="1">
      <c r="A45" s="23" t="s">
        <v>108</v>
      </c>
      <c r="B45" s="23" t="s">
        <v>589</v>
      </c>
      <c r="C45" s="23" t="s">
        <v>590</v>
      </c>
      <c r="D45" s="23" t="s">
        <v>101</v>
      </c>
      <c r="E45" s="23" t="s">
        <v>591</v>
      </c>
      <c r="F45" s="23" t="s">
        <v>592</v>
      </c>
      <c r="G45" s="23" t="s">
        <v>589</v>
      </c>
      <c r="H45" s="23" t="s">
        <v>344</v>
      </c>
      <c r="I45" s="23" t="s">
        <v>227</v>
      </c>
      <c r="J45" s="23" t="s">
        <v>597</v>
      </c>
      <c r="K45" s="23" t="s">
        <v>168</v>
      </c>
      <c r="L45" s="23" t="s">
        <v>598</v>
      </c>
      <c r="M45" s="23" t="s">
        <v>54</v>
      </c>
      <c r="N45" s="35">
        <f t="array" ref="N45">IF(M45="","",IFERROR(INDEX(Parameters!$B$9:$B$11,MATCH(M45,Parameters!$A$9:$A$11,0)),"?"))</f>
        <v>4</v>
      </c>
      <c r="O45" s="23" t="s">
        <v>116</v>
      </c>
      <c r="P45" s="23" t="s">
        <v>95</v>
      </c>
      <c r="Q45" s="38">
        <f t="shared" si="1"/>
        <v>0</v>
      </c>
      <c r="R45" s="38">
        <f t="shared" si="2"/>
        <v>21</v>
      </c>
      <c r="S45" s="35">
        <f t="array" ref="S45">IF(Q45=1,IFERROR(INDEX(Parameters!$B$32:$B$37,MATCH(I45,Parameters!$A$32:$A$37,0)),0),0)</f>
        <v>0</v>
      </c>
      <c r="T45" s="4"/>
      <c r="U45" s="4"/>
      <c r="V45" s="4"/>
      <c r="W45" s="4"/>
      <c r="X45" s="4"/>
      <c r="Y45" s="4"/>
      <c r="Z45" s="4"/>
      <c r="AA45" s="4"/>
      <c r="AB45" s="4"/>
    </row>
    <row r="46" ht="24.0" customHeight="1">
      <c r="A46" s="23" t="s">
        <v>108</v>
      </c>
      <c r="B46" s="23" t="s">
        <v>600</v>
      </c>
      <c r="C46" s="23" t="s">
        <v>601</v>
      </c>
      <c r="D46" s="23" t="s">
        <v>101</v>
      </c>
      <c r="E46" s="23" t="s">
        <v>602</v>
      </c>
      <c r="F46" s="23" t="s">
        <v>603</v>
      </c>
      <c r="G46" s="23" t="s">
        <v>589</v>
      </c>
      <c r="H46" s="23" t="s">
        <v>344</v>
      </c>
      <c r="I46" s="23" t="s">
        <v>120</v>
      </c>
      <c r="J46" s="23" t="s">
        <v>604</v>
      </c>
      <c r="K46" s="23" t="s">
        <v>129</v>
      </c>
      <c r="L46" s="23" t="s">
        <v>605</v>
      </c>
      <c r="M46" s="23" t="s">
        <v>96</v>
      </c>
      <c r="N46" s="35">
        <f t="array" ref="N46">IF(M46="","",IFERROR(INDEX(Parameters!$B$9:$B$11,MATCH(M46,Parameters!$A$9:$A$11,0)),"?"))</f>
        <v>8</v>
      </c>
      <c r="O46" s="23" t="s">
        <v>116</v>
      </c>
      <c r="P46" s="23" t="s">
        <v>95</v>
      </c>
      <c r="Q46" s="38">
        <f t="shared" si="1"/>
        <v>1</v>
      </c>
      <c r="R46" s="38">
        <f t="shared" si="2"/>
        <v>22</v>
      </c>
      <c r="S46" s="35">
        <f t="array" ref="S46">IF(Q46=1,IFERROR(INDEX(Parameters!$B$32:$B$37,MATCH(I46,Parameters!$A$32:$A$37,0)),0),0)</f>
        <v>4</v>
      </c>
      <c r="T46" s="4"/>
      <c r="U46" s="4"/>
      <c r="V46" s="4"/>
      <c r="W46" s="4"/>
      <c r="X46" s="4"/>
      <c r="Y46" s="4"/>
      <c r="Z46" s="4"/>
      <c r="AA46" s="4"/>
      <c r="AB46" s="4"/>
    </row>
    <row r="47" ht="24.0" customHeight="1">
      <c r="A47" s="23" t="s">
        <v>108</v>
      </c>
      <c r="B47" s="23" t="s">
        <v>600</v>
      </c>
      <c r="C47" s="23" t="s">
        <v>601</v>
      </c>
      <c r="D47" s="23" t="s">
        <v>101</v>
      </c>
      <c r="E47" s="23" t="s">
        <v>602</v>
      </c>
      <c r="F47" s="23" t="s">
        <v>603</v>
      </c>
      <c r="G47" s="23" t="s">
        <v>600</v>
      </c>
      <c r="H47" s="23" t="s">
        <v>344</v>
      </c>
      <c r="I47" s="23" t="s">
        <v>120</v>
      </c>
      <c r="J47" s="23" t="s">
        <v>608</v>
      </c>
      <c r="K47" s="23" t="s">
        <v>168</v>
      </c>
      <c r="L47" s="23" t="s">
        <v>609</v>
      </c>
      <c r="M47" s="23" t="s">
        <v>54</v>
      </c>
      <c r="N47" s="35">
        <f t="array" ref="N47">IF(M47="","",IFERROR(INDEX(Parameters!$B$9:$B$11,MATCH(M47,Parameters!$A$9:$A$11,0)),"?"))</f>
        <v>4</v>
      </c>
      <c r="O47" s="23" t="s">
        <v>116</v>
      </c>
      <c r="P47" s="23" t="s">
        <v>95</v>
      </c>
      <c r="Q47" s="38">
        <f t="shared" si="1"/>
        <v>0</v>
      </c>
      <c r="R47" s="38">
        <f t="shared" si="2"/>
        <v>22</v>
      </c>
      <c r="S47" s="35">
        <f t="array" ref="S47">IF(Q47=1,IFERROR(INDEX(Parameters!$B$32:$B$37,MATCH(I47,Parameters!$A$32:$A$37,0)),0),0)</f>
        <v>0</v>
      </c>
      <c r="T47" s="4"/>
      <c r="U47" s="4"/>
      <c r="V47" s="4"/>
      <c r="W47" s="4"/>
      <c r="X47" s="4"/>
      <c r="Y47" s="4"/>
      <c r="Z47" s="4"/>
      <c r="AA47" s="4"/>
      <c r="AB47" s="4"/>
    </row>
    <row r="48" ht="24.0" customHeight="1">
      <c r="A48" s="23" t="s">
        <v>108</v>
      </c>
      <c r="B48" s="23" t="s">
        <v>610</v>
      </c>
      <c r="C48" s="23" t="s">
        <v>611</v>
      </c>
      <c r="D48" s="23" t="s">
        <v>101</v>
      </c>
      <c r="E48" s="23" t="s">
        <v>612</v>
      </c>
      <c r="F48" s="23" t="s">
        <v>613</v>
      </c>
      <c r="G48" s="23" t="s">
        <v>600</v>
      </c>
      <c r="H48" s="23" t="s">
        <v>389</v>
      </c>
      <c r="I48" s="23" t="s">
        <v>227</v>
      </c>
      <c r="J48" s="23" t="s">
        <v>614</v>
      </c>
      <c r="K48" s="23" t="s">
        <v>129</v>
      </c>
      <c r="L48" s="23" t="s">
        <v>615</v>
      </c>
      <c r="M48" s="23" t="s">
        <v>54</v>
      </c>
      <c r="N48" s="35">
        <f t="array" ref="N48">IF(M48="","",IFERROR(INDEX(Parameters!$B$9:$B$11,MATCH(M48,Parameters!$A$9:$A$11,0)),"?"))</f>
        <v>4</v>
      </c>
      <c r="O48" s="23" t="s">
        <v>116</v>
      </c>
      <c r="P48" s="23" t="s">
        <v>95</v>
      </c>
      <c r="Q48" s="38">
        <f t="shared" si="1"/>
        <v>1</v>
      </c>
      <c r="R48" s="38">
        <f t="shared" si="2"/>
        <v>23</v>
      </c>
      <c r="S48" s="35">
        <f t="array" ref="S48">IF(Q48=1,IFERROR(INDEX(Parameters!$B$32:$B$37,MATCH(I48,Parameters!$A$32:$A$37,0)),0),0)</f>
        <v>4</v>
      </c>
      <c r="T48" s="4"/>
      <c r="U48" s="4"/>
      <c r="V48" s="4"/>
      <c r="W48" s="4"/>
      <c r="X48" s="4"/>
      <c r="Y48" s="4"/>
      <c r="Z48" s="4"/>
      <c r="AA48" s="4"/>
      <c r="AB48" s="4"/>
    </row>
    <row r="49" ht="24.0" customHeight="1">
      <c r="A49" s="23" t="s">
        <v>108</v>
      </c>
      <c r="B49" s="23" t="s">
        <v>610</v>
      </c>
      <c r="C49" s="23" t="s">
        <v>611</v>
      </c>
      <c r="D49" s="23" t="s">
        <v>101</v>
      </c>
      <c r="E49" s="23" t="s">
        <v>612</v>
      </c>
      <c r="F49" s="23" t="s">
        <v>613</v>
      </c>
      <c r="G49" s="23" t="s">
        <v>610</v>
      </c>
      <c r="H49" s="23" t="s">
        <v>389</v>
      </c>
      <c r="I49" s="23" t="s">
        <v>227</v>
      </c>
      <c r="J49" s="23" t="s">
        <v>631</v>
      </c>
      <c r="K49" s="23" t="s">
        <v>168</v>
      </c>
      <c r="L49" s="23" t="s">
        <v>632</v>
      </c>
      <c r="M49" s="23" t="s">
        <v>54</v>
      </c>
      <c r="N49" s="35">
        <f t="array" ref="N49">IF(M49="","",IFERROR(INDEX(Parameters!$B$9:$B$11,MATCH(M49,Parameters!$A$9:$A$11,0)),"?"))</f>
        <v>4</v>
      </c>
      <c r="O49" s="23" t="s">
        <v>116</v>
      </c>
      <c r="P49" s="23" t="s">
        <v>95</v>
      </c>
      <c r="Q49" s="38">
        <f t="shared" si="1"/>
        <v>0</v>
      </c>
      <c r="R49" s="38">
        <f t="shared" si="2"/>
        <v>23</v>
      </c>
      <c r="S49" s="35">
        <f t="array" ref="S49">IF(Q49=1,IFERROR(INDEX(Parameters!$B$32:$B$37,MATCH(I49,Parameters!$A$32:$A$37,0)),0),0)</f>
        <v>0</v>
      </c>
      <c r="T49" s="4"/>
      <c r="U49" s="4"/>
      <c r="V49" s="4"/>
      <c r="W49" s="4"/>
      <c r="X49" s="4"/>
      <c r="Y49" s="4"/>
      <c r="Z49" s="4"/>
      <c r="AA49" s="4"/>
      <c r="AB49" s="4"/>
    </row>
    <row r="50" ht="24.0" customHeight="1">
      <c r="A50" s="23" t="s">
        <v>108</v>
      </c>
      <c r="B50" s="23" t="s">
        <v>638</v>
      </c>
      <c r="C50" s="23" t="s">
        <v>639</v>
      </c>
      <c r="D50" s="23" t="s">
        <v>101</v>
      </c>
      <c r="E50" s="23" t="s">
        <v>640</v>
      </c>
      <c r="F50" s="23" t="s">
        <v>641</v>
      </c>
      <c r="G50" s="23" t="s">
        <v>610</v>
      </c>
      <c r="H50" s="23" t="s">
        <v>389</v>
      </c>
      <c r="I50" s="23" t="s">
        <v>232</v>
      </c>
      <c r="J50" s="23" t="s">
        <v>642</v>
      </c>
      <c r="K50" s="23" t="s">
        <v>129</v>
      </c>
      <c r="L50" s="23" t="s">
        <v>643</v>
      </c>
      <c r="M50" s="23" t="s">
        <v>96</v>
      </c>
      <c r="N50" s="35">
        <f t="array" ref="N50">IF(M50="","",IFERROR(INDEX(Parameters!$B$9:$B$11,MATCH(M50,Parameters!$A$9:$A$11,0)),"?"))</f>
        <v>8</v>
      </c>
      <c r="O50" s="23" t="s">
        <v>95</v>
      </c>
      <c r="P50" s="23" t="s">
        <v>95</v>
      </c>
      <c r="Q50" s="38">
        <f t="shared" si="1"/>
        <v>1</v>
      </c>
      <c r="R50" s="38">
        <f t="shared" si="2"/>
        <v>24</v>
      </c>
      <c r="S50" s="35">
        <f t="array" ref="S50">IF(Q50=1,IFERROR(INDEX(Parameters!$B$32:$B$37,MATCH(I50,Parameters!$A$32:$A$37,0)),0),0)</f>
        <v>5</v>
      </c>
      <c r="T50" s="4"/>
      <c r="U50" s="4"/>
      <c r="V50" s="4"/>
      <c r="W50" s="4"/>
      <c r="X50" s="4"/>
      <c r="Y50" s="4"/>
      <c r="Z50" s="4"/>
      <c r="AA50" s="4"/>
      <c r="AB50" s="4"/>
    </row>
    <row r="51" ht="24.0" customHeight="1">
      <c r="A51" s="23" t="s">
        <v>108</v>
      </c>
      <c r="B51" s="23" t="s">
        <v>638</v>
      </c>
      <c r="C51" s="23" t="s">
        <v>639</v>
      </c>
      <c r="D51" s="23" t="s">
        <v>101</v>
      </c>
      <c r="E51" s="23" t="s">
        <v>640</v>
      </c>
      <c r="F51" s="23" t="s">
        <v>641</v>
      </c>
      <c r="G51" s="23" t="s">
        <v>638</v>
      </c>
      <c r="H51" s="23" t="s">
        <v>389</v>
      </c>
      <c r="I51" s="23" t="s">
        <v>232</v>
      </c>
      <c r="J51" s="23" t="s">
        <v>644</v>
      </c>
      <c r="K51" s="23" t="s">
        <v>168</v>
      </c>
      <c r="L51" s="23" t="s">
        <v>645</v>
      </c>
      <c r="M51" s="23" t="s">
        <v>107</v>
      </c>
      <c r="N51" s="35">
        <f t="array" ref="N51">IF(M51="","",IFERROR(INDEX(Parameters!$B$9:$B$11,MATCH(M51,Parameters!$A$9:$A$11,0)),"?"))</f>
        <v>16</v>
      </c>
      <c r="O51" s="23" t="s">
        <v>95</v>
      </c>
      <c r="P51" s="23" t="s">
        <v>95</v>
      </c>
      <c r="Q51" s="38">
        <f t="shared" si="1"/>
        <v>0</v>
      </c>
      <c r="R51" s="38">
        <f t="shared" si="2"/>
        <v>24</v>
      </c>
      <c r="S51" s="35">
        <f t="array" ref="S51">IF(Q51=1,IFERROR(INDEX(Parameters!$B$32:$B$37,MATCH(I51,Parameters!$A$32:$A$37,0)),0),0)</f>
        <v>0</v>
      </c>
      <c r="T51" s="4"/>
      <c r="U51" s="4"/>
      <c r="V51" s="4"/>
      <c r="W51" s="4"/>
      <c r="X51" s="4"/>
      <c r="Y51" s="4"/>
      <c r="Z51" s="4"/>
      <c r="AA51" s="4"/>
      <c r="AB51" s="4"/>
    </row>
    <row r="52" ht="24.0" customHeight="1">
      <c r="A52" s="23" t="s">
        <v>108</v>
      </c>
      <c r="B52" s="23" t="s">
        <v>638</v>
      </c>
      <c r="C52" s="23" t="s">
        <v>639</v>
      </c>
      <c r="D52" s="23" t="s">
        <v>101</v>
      </c>
      <c r="E52" s="23" t="s">
        <v>640</v>
      </c>
      <c r="F52" s="23" t="s">
        <v>641</v>
      </c>
      <c r="G52" s="23" t="s">
        <v>638</v>
      </c>
      <c r="H52" s="23" t="s">
        <v>389</v>
      </c>
      <c r="I52" s="23" t="s">
        <v>232</v>
      </c>
      <c r="J52" s="23" t="s">
        <v>646</v>
      </c>
      <c r="K52" s="23" t="s">
        <v>173</v>
      </c>
      <c r="L52" s="23" t="s">
        <v>647</v>
      </c>
      <c r="M52" s="23" t="s">
        <v>96</v>
      </c>
      <c r="N52" s="35">
        <f t="array" ref="N52">IF(M52="","",IFERROR(INDEX(Parameters!$B$9:$B$11,MATCH(M52,Parameters!$A$9:$A$11,0)),"?"))</f>
        <v>8</v>
      </c>
      <c r="O52" s="23" t="s">
        <v>95</v>
      </c>
      <c r="P52" s="23" t="s">
        <v>116</v>
      </c>
      <c r="Q52" s="38">
        <f t="shared" si="1"/>
        <v>0</v>
      </c>
      <c r="R52" s="38">
        <f t="shared" si="2"/>
        <v>24</v>
      </c>
      <c r="S52" s="35">
        <f t="array" ref="S52">IF(Q52=1,IFERROR(INDEX(Parameters!$B$32:$B$37,MATCH(I52,Parameters!$A$32:$A$37,0)),0),0)</f>
        <v>0</v>
      </c>
      <c r="T52" s="4"/>
      <c r="U52" s="4"/>
      <c r="V52" s="4"/>
      <c r="W52" s="4"/>
      <c r="X52" s="4"/>
      <c r="Y52" s="4"/>
      <c r="Z52" s="4"/>
      <c r="AA52" s="4"/>
      <c r="AB52" s="4"/>
    </row>
    <row r="53" ht="24.0" customHeight="1">
      <c r="A53" s="23" t="s">
        <v>108</v>
      </c>
      <c r="B53" s="23" t="s">
        <v>648</v>
      </c>
      <c r="C53" s="23" t="s">
        <v>649</v>
      </c>
      <c r="D53" s="23" t="s">
        <v>101</v>
      </c>
      <c r="E53" s="23" t="s">
        <v>650</v>
      </c>
      <c r="F53" s="23" t="s">
        <v>641</v>
      </c>
      <c r="G53" s="23" t="s">
        <v>638</v>
      </c>
      <c r="H53" s="23" t="s">
        <v>389</v>
      </c>
      <c r="I53" s="23" t="s">
        <v>254</v>
      </c>
      <c r="J53" s="23" t="s">
        <v>651</v>
      </c>
      <c r="K53" s="23" t="s">
        <v>168</v>
      </c>
      <c r="L53" s="23" t="s">
        <v>652</v>
      </c>
      <c r="M53" s="23" t="s">
        <v>54</v>
      </c>
      <c r="N53" s="35">
        <f t="array" ref="N53">IF(M53="","",IFERROR(INDEX(Parameters!$B$9:$B$11,MATCH(M53,Parameters!$A$9:$A$11,0)),"?"))</f>
        <v>4</v>
      </c>
      <c r="O53" s="23" t="s">
        <v>116</v>
      </c>
      <c r="P53" s="23" t="s">
        <v>95</v>
      </c>
      <c r="Q53" s="38">
        <f t="shared" si="1"/>
        <v>1</v>
      </c>
      <c r="R53" s="38">
        <f t="shared" si="2"/>
        <v>25</v>
      </c>
      <c r="S53" s="35">
        <f t="array" ref="S53">IF(Q53=1,IFERROR(INDEX(Parameters!$B$32:$B$37,MATCH(I53,Parameters!$A$32:$A$37,0)),0),0)</f>
        <v>0</v>
      </c>
      <c r="T53" s="4"/>
      <c r="U53" s="4"/>
      <c r="V53" s="4"/>
      <c r="W53" s="4"/>
      <c r="X53" s="4"/>
      <c r="Y53" s="4"/>
      <c r="Z53" s="4"/>
      <c r="AA53" s="4"/>
      <c r="AB53" s="4"/>
    </row>
    <row r="54" ht="24.0" customHeight="1">
      <c r="A54" s="23" t="s">
        <v>108</v>
      </c>
      <c r="B54" s="23" t="s">
        <v>653</v>
      </c>
      <c r="C54" s="23" t="s">
        <v>654</v>
      </c>
      <c r="D54" s="23" t="s">
        <v>101</v>
      </c>
      <c r="E54" s="23" t="s">
        <v>655</v>
      </c>
      <c r="F54" s="23" t="s">
        <v>656</v>
      </c>
      <c r="G54" s="23" t="s">
        <v>648</v>
      </c>
      <c r="H54" s="23" t="s">
        <v>389</v>
      </c>
      <c r="I54" s="23" t="s">
        <v>232</v>
      </c>
      <c r="J54" s="23" t="s">
        <v>657</v>
      </c>
      <c r="K54" s="23" t="s">
        <v>129</v>
      </c>
      <c r="L54" s="23" t="s">
        <v>658</v>
      </c>
      <c r="M54" s="23" t="s">
        <v>96</v>
      </c>
      <c r="N54" s="35">
        <f t="array" ref="N54">IF(M54="","",IFERROR(INDEX(Parameters!$B$9:$B$11,MATCH(M54,Parameters!$A$9:$A$11,0)),"?"))</f>
        <v>8</v>
      </c>
      <c r="O54" s="23" t="s">
        <v>95</v>
      </c>
      <c r="P54" s="23" t="s">
        <v>95</v>
      </c>
      <c r="Q54" s="38">
        <f t="shared" si="1"/>
        <v>1</v>
      </c>
      <c r="R54" s="38">
        <f t="shared" si="2"/>
        <v>26</v>
      </c>
      <c r="S54" s="35">
        <f t="array" ref="S54">IF(Q54=1,IFERROR(INDEX(Parameters!$B$32:$B$37,MATCH(I54,Parameters!$A$32:$A$37,0)),0),0)</f>
        <v>5</v>
      </c>
      <c r="T54" s="4"/>
      <c r="U54" s="4"/>
      <c r="V54" s="4"/>
      <c r="W54" s="4"/>
      <c r="X54" s="4"/>
      <c r="Y54" s="4"/>
      <c r="Z54" s="4"/>
      <c r="AA54" s="4"/>
      <c r="AB54" s="4"/>
    </row>
    <row r="55" ht="24.0" customHeight="1">
      <c r="A55" s="23" t="s">
        <v>108</v>
      </c>
      <c r="B55" s="23" t="s">
        <v>653</v>
      </c>
      <c r="C55" s="23" t="s">
        <v>654</v>
      </c>
      <c r="D55" s="23" t="s">
        <v>101</v>
      </c>
      <c r="E55" s="23" t="s">
        <v>655</v>
      </c>
      <c r="F55" s="23" t="s">
        <v>656</v>
      </c>
      <c r="G55" s="23" t="s">
        <v>653</v>
      </c>
      <c r="H55" s="23" t="s">
        <v>389</v>
      </c>
      <c r="I55" s="23" t="s">
        <v>232</v>
      </c>
      <c r="J55" s="23" t="s">
        <v>659</v>
      </c>
      <c r="K55" s="23" t="s">
        <v>168</v>
      </c>
      <c r="L55" s="23" t="s">
        <v>660</v>
      </c>
      <c r="M55" s="23" t="s">
        <v>107</v>
      </c>
      <c r="N55" s="35">
        <f t="array" ref="N55">IF(M55="","",IFERROR(INDEX(Parameters!$B$9:$B$11,MATCH(M55,Parameters!$A$9:$A$11,0)),"?"))</f>
        <v>16</v>
      </c>
      <c r="O55" s="23" t="s">
        <v>95</v>
      </c>
      <c r="P55" s="23" t="s">
        <v>95</v>
      </c>
      <c r="Q55" s="38">
        <f t="shared" si="1"/>
        <v>0</v>
      </c>
      <c r="R55" s="38">
        <f t="shared" si="2"/>
        <v>26</v>
      </c>
      <c r="S55" s="35">
        <f t="array" ref="S55">IF(Q55=1,IFERROR(INDEX(Parameters!$B$32:$B$37,MATCH(I55,Parameters!$A$32:$A$37,0)),0),0)</f>
        <v>0</v>
      </c>
      <c r="T55" s="4"/>
      <c r="U55" s="4"/>
      <c r="V55" s="4"/>
      <c r="W55" s="4"/>
      <c r="X55" s="4"/>
      <c r="Y55" s="4"/>
      <c r="Z55" s="4"/>
      <c r="AA55" s="4"/>
      <c r="AB55" s="4"/>
    </row>
    <row r="56" ht="24.0" customHeight="1">
      <c r="A56" s="23" t="s">
        <v>108</v>
      </c>
      <c r="B56" s="23" t="s">
        <v>661</v>
      </c>
      <c r="C56" s="23" t="s">
        <v>662</v>
      </c>
      <c r="D56" s="23" t="s">
        <v>101</v>
      </c>
      <c r="E56" s="23" t="s">
        <v>663</v>
      </c>
      <c r="F56" s="23" t="s">
        <v>664</v>
      </c>
      <c r="G56" s="23" t="s">
        <v>653</v>
      </c>
      <c r="H56" s="23" t="s">
        <v>344</v>
      </c>
      <c r="I56" s="23" t="s">
        <v>120</v>
      </c>
      <c r="J56" s="23" t="s">
        <v>665</v>
      </c>
      <c r="K56" s="23" t="s">
        <v>129</v>
      </c>
      <c r="L56" s="23" t="s">
        <v>666</v>
      </c>
      <c r="M56" s="23" t="s">
        <v>54</v>
      </c>
      <c r="N56" s="35">
        <f t="array" ref="N56">IF(M56="","",IFERROR(INDEX(Parameters!$B$9:$B$11,MATCH(M56,Parameters!$A$9:$A$11,0)),"?"))</f>
        <v>4</v>
      </c>
      <c r="O56" s="23" t="s">
        <v>116</v>
      </c>
      <c r="P56" s="23" t="s">
        <v>95</v>
      </c>
      <c r="Q56" s="38">
        <f t="shared" si="1"/>
        <v>1</v>
      </c>
      <c r="R56" s="38">
        <f t="shared" si="2"/>
        <v>27</v>
      </c>
      <c r="S56" s="35">
        <f t="array" ref="S56">IF(Q56=1,IFERROR(INDEX(Parameters!$B$32:$B$37,MATCH(I56,Parameters!$A$32:$A$37,0)),0),0)</f>
        <v>4</v>
      </c>
      <c r="T56" s="4"/>
      <c r="U56" s="4"/>
      <c r="V56" s="4"/>
      <c r="W56" s="4"/>
      <c r="X56" s="4"/>
      <c r="Y56" s="4"/>
      <c r="Z56" s="4"/>
      <c r="AA56" s="4"/>
      <c r="AB56" s="4"/>
    </row>
    <row r="57" ht="24.0" customHeight="1">
      <c r="A57" s="23" t="s">
        <v>108</v>
      </c>
      <c r="B57" s="23" t="s">
        <v>661</v>
      </c>
      <c r="C57" s="23" t="s">
        <v>662</v>
      </c>
      <c r="D57" s="23" t="s">
        <v>101</v>
      </c>
      <c r="E57" s="23" t="s">
        <v>663</v>
      </c>
      <c r="F57" s="23" t="s">
        <v>664</v>
      </c>
      <c r="G57" s="23" t="s">
        <v>661</v>
      </c>
      <c r="H57" s="23" t="s">
        <v>344</v>
      </c>
      <c r="I57" s="23" t="s">
        <v>120</v>
      </c>
      <c r="J57" s="23" t="s">
        <v>667</v>
      </c>
      <c r="K57" s="23" t="s">
        <v>168</v>
      </c>
      <c r="L57" s="23" t="s">
        <v>668</v>
      </c>
      <c r="M57" s="23" t="s">
        <v>54</v>
      </c>
      <c r="N57" s="35">
        <f t="array" ref="N57">IF(M57="","",IFERROR(INDEX(Parameters!$B$9:$B$11,MATCH(M57,Parameters!$A$9:$A$11,0)),"?"))</f>
        <v>4</v>
      </c>
      <c r="O57" s="23" t="s">
        <v>116</v>
      </c>
      <c r="P57" s="23" t="s">
        <v>95</v>
      </c>
      <c r="Q57" s="38">
        <f t="shared" si="1"/>
        <v>0</v>
      </c>
      <c r="R57" s="38">
        <f t="shared" si="2"/>
        <v>27</v>
      </c>
      <c r="S57" s="35">
        <f t="array" ref="S57">IF(Q57=1,IFERROR(INDEX(Parameters!$B$32:$B$37,MATCH(I57,Parameters!$A$32:$A$37,0)),0),0)</f>
        <v>0</v>
      </c>
      <c r="T57" s="4"/>
      <c r="U57" s="4"/>
      <c r="V57" s="4"/>
      <c r="W57" s="4"/>
      <c r="X57" s="4"/>
      <c r="Y57" s="4"/>
      <c r="Z57" s="4"/>
      <c r="AA57" s="4"/>
      <c r="AB57" s="4"/>
    </row>
    <row r="58" ht="24.0" customHeight="1">
      <c r="A58" s="23" t="s">
        <v>108</v>
      </c>
      <c r="B58" s="23" t="s">
        <v>669</v>
      </c>
      <c r="C58" s="23" t="s">
        <v>670</v>
      </c>
      <c r="D58" s="23" t="s">
        <v>101</v>
      </c>
      <c r="E58" s="23" t="s">
        <v>671</v>
      </c>
      <c r="F58" s="23" t="s">
        <v>672</v>
      </c>
      <c r="G58" s="23" t="s">
        <v>661</v>
      </c>
      <c r="H58" s="23" t="s">
        <v>389</v>
      </c>
      <c r="I58" s="23" t="s">
        <v>254</v>
      </c>
      <c r="J58" s="23" t="s">
        <v>673</v>
      </c>
      <c r="K58" s="23" t="s">
        <v>168</v>
      </c>
      <c r="L58" s="23" t="s">
        <v>674</v>
      </c>
      <c r="M58" s="23" t="s">
        <v>54</v>
      </c>
      <c r="N58" s="35">
        <f t="array" ref="N58">IF(M58="","",IFERROR(INDEX(Parameters!$B$9:$B$11,MATCH(M58,Parameters!$A$9:$A$11,0)),"?"))</f>
        <v>4</v>
      </c>
      <c r="O58" s="23" t="s">
        <v>116</v>
      </c>
      <c r="P58" s="23" t="s">
        <v>95</v>
      </c>
      <c r="Q58" s="38">
        <f t="shared" si="1"/>
        <v>1</v>
      </c>
      <c r="R58" s="38">
        <f t="shared" si="2"/>
        <v>28</v>
      </c>
      <c r="S58" s="35">
        <f t="array" ref="S58">IF(Q58=1,IFERROR(INDEX(Parameters!$B$32:$B$37,MATCH(I58,Parameters!$A$32:$A$37,0)),0),0)</f>
        <v>0</v>
      </c>
      <c r="T58" s="4"/>
      <c r="U58" s="4"/>
      <c r="V58" s="4"/>
      <c r="W58" s="4"/>
      <c r="X58" s="4"/>
      <c r="Y58" s="4"/>
      <c r="Z58" s="4"/>
      <c r="AA58" s="4"/>
      <c r="AB58" s="4"/>
    </row>
    <row r="59" ht="24.0" customHeight="1">
      <c r="A59" s="23" t="s">
        <v>108</v>
      </c>
      <c r="B59" s="23" t="s">
        <v>675</v>
      </c>
      <c r="C59" s="23" t="s">
        <v>676</v>
      </c>
      <c r="D59" s="23" t="s">
        <v>101</v>
      </c>
      <c r="E59" s="23" t="s">
        <v>677</v>
      </c>
      <c r="F59" s="23" t="s">
        <v>678</v>
      </c>
      <c r="G59" s="23" t="s">
        <v>669</v>
      </c>
      <c r="H59" s="23" t="s">
        <v>344</v>
      </c>
      <c r="I59" s="23" t="s">
        <v>120</v>
      </c>
      <c r="J59" s="23" t="s">
        <v>679</v>
      </c>
      <c r="K59" s="23" t="s">
        <v>129</v>
      </c>
      <c r="L59" s="23" t="s">
        <v>680</v>
      </c>
      <c r="M59" s="23" t="s">
        <v>54</v>
      </c>
      <c r="N59" s="35">
        <f t="array" ref="N59">IF(M59="","",IFERROR(INDEX(Parameters!$B$9:$B$11,MATCH(M59,Parameters!$A$9:$A$11,0)),"?"))</f>
        <v>4</v>
      </c>
      <c r="O59" s="23" t="s">
        <v>116</v>
      </c>
      <c r="P59" s="23" t="s">
        <v>95</v>
      </c>
      <c r="Q59" s="38">
        <f t="shared" si="1"/>
        <v>1</v>
      </c>
      <c r="R59" s="38">
        <f t="shared" si="2"/>
        <v>29</v>
      </c>
      <c r="S59" s="35">
        <f t="array" ref="S59">IF(Q59=1,IFERROR(INDEX(Parameters!$B$32:$B$37,MATCH(I59,Parameters!$A$32:$A$37,0)),0),0)</f>
        <v>4</v>
      </c>
      <c r="T59" s="4"/>
      <c r="U59" s="4"/>
      <c r="V59" s="4"/>
      <c r="W59" s="4"/>
      <c r="X59" s="4"/>
      <c r="Y59" s="4"/>
      <c r="Z59" s="4"/>
      <c r="AA59" s="4"/>
      <c r="AB59" s="4"/>
    </row>
    <row r="60" ht="24.0" customHeight="1">
      <c r="A60" s="23" t="s">
        <v>108</v>
      </c>
      <c r="B60" s="23" t="s">
        <v>675</v>
      </c>
      <c r="C60" s="23" t="s">
        <v>676</v>
      </c>
      <c r="D60" s="23" t="s">
        <v>101</v>
      </c>
      <c r="E60" s="23" t="s">
        <v>677</v>
      </c>
      <c r="F60" s="23" t="s">
        <v>678</v>
      </c>
      <c r="G60" s="23" t="s">
        <v>675</v>
      </c>
      <c r="H60" s="23" t="s">
        <v>344</v>
      </c>
      <c r="I60" s="23" t="s">
        <v>120</v>
      </c>
      <c r="J60" s="23" t="s">
        <v>681</v>
      </c>
      <c r="K60" s="23" t="s">
        <v>168</v>
      </c>
      <c r="L60" s="23" t="s">
        <v>682</v>
      </c>
      <c r="M60" s="23" t="s">
        <v>54</v>
      </c>
      <c r="N60" s="35">
        <f t="array" ref="N60">IF(M60="","",IFERROR(INDEX(Parameters!$B$9:$B$11,MATCH(M60,Parameters!$A$9:$A$11,0)),"?"))</f>
        <v>4</v>
      </c>
      <c r="O60" s="23" t="s">
        <v>116</v>
      </c>
      <c r="P60" s="23" t="s">
        <v>95</v>
      </c>
      <c r="Q60" s="38">
        <f t="shared" si="1"/>
        <v>0</v>
      </c>
      <c r="R60" s="38">
        <f t="shared" si="2"/>
        <v>29</v>
      </c>
      <c r="S60" s="35">
        <f t="array" ref="S60">IF(Q60=1,IFERROR(INDEX(Parameters!$B$32:$B$37,MATCH(I60,Parameters!$A$32:$A$37,0)),0),0)</f>
        <v>0</v>
      </c>
      <c r="T60" s="4"/>
      <c r="U60" s="4"/>
      <c r="V60" s="4"/>
      <c r="W60" s="4"/>
      <c r="X60" s="4"/>
      <c r="Y60" s="4"/>
      <c r="Z60" s="4"/>
      <c r="AA60" s="4"/>
      <c r="AB60" s="4"/>
    </row>
    <row r="61" ht="24.0" customHeight="1">
      <c r="A61" s="23" t="s">
        <v>108</v>
      </c>
      <c r="B61" s="23" t="s">
        <v>683</v>
      </c>
      <c r="C61" s="23" t="s">
        <v>684</v>
      </c>
      <c r="D61" s="23" t="s">
        <v>101</v>
      </c>
      <c r="E61" s="23" t="s">
        <v>685</v>
      </c>
      <c r="F61" s="23" t="s">
        <v>686</v>
      </c>
      <c r="G61" s="23" t="s">
        <v>675</v>
      </c>
      <c r="H61" s="23" t="s">
        <v>117</v>
      </c>
      <c r="I61" s="23" t="s">
        <v>120</v>
      </c>
      <c r="J61" s="23" t="s">
        <v>687</v>
      </c>
      <c r="K61" s="23" t="s">
        <v>129</v>
      </c>
      <c r="L61" s="23" t="s">
        <v>688</v>
      </c>
      <c r="M61" s="23" t="s">
        <v>54</v>
      </c>
      <c r="N61" s="35">
        <f t="array" ref="N61">IF(M61="","",IFERROR(INDEX(Parameters!$B$9:$B$11,MATCH(M61,Parameters!$A$9:$A$11,0)),"?"))</f>
        <v>4</v>
      </c>
      <c r="O61" s="23" t="s">
        <v>116</v>
      </c>
      <c r="P61" s="23" t="s">
        <v>95</v>
      </c>
      <c r="Q61" s="38">
        <f t="shared" si="1"/>
        <v>1</v>
      </c>
      <c r="R61" s="38">
        <f t="shared" si="2"/>
        <v>30</v>
      </c>
      <c r="S61" s="35">
        <f t="array" ref="S61">IF(Q61=1,IFERROR(INDEX(Parameters!$B$32:$B$37,MATCH(I61,Parameters!$A$32:$A$37,0)),0),0)</f>
        <v>4</v>
      </c>
      <c r="T61" s="4"/>
      <c r="U61" s="4"/>
      <c r="V61" s="4"/>
      <c r="W61" s="4"/>
      <c r="X61" s="4"/>
      <c r="Y61" s="4"/>
      <c r="Z61" s="4"/>
      <c r="AA61" s="4"/>
      <c r="AB61" s="4"/>
    </row>
    <row r="62" ht="24.0" customHeight="1">
      <c r="A62" s="23" t="s">
        <v>108</v>
      </c>
      <c r="B62" s="23" t="s">
        <v>683</v>
      </c>
      <c r="C62" s="23" t="s">
        <v>684</v>
      </c>
      <c r="D62" s="23" t="s">
        <v>101</v>
      </c>
      <c r="E62" s="23" t="s">
        <v>685</v>
      </c>
      <c r="F62" s="23" t="s">
        <v>686</v>
      </c>
      <c r="G62" s="23" t="s">
        <v>683</v>
      </c>
      <c r="H62" s="23" t="s">
        <v>117</v>
      </c>
      <c r="I62" s="23" t="s">
        <v>120</v>
      </c>
      <c r="J62" s="23" t="s">
        <v>689</v>
      </c>
      <c r="K62" s="23" t="s">
        <v>168</v>
      </c>
      <c r="L62" s="23" t="s">
        <v>690</v>
      </c>
      <c r="M62" s="23" t="s">
        <v>96</v>
      </c>
      <c r="N62" s="35">
        <f t="array" ref="N62">IF(M62="","",IFERROR(INDEX(Parameters!$B$9:$B$11,MATCH(M62,Parameters!$A$9:$A$11,0)),"?"))</f>
        <v>8</v>
      </c>
      <c r="O62" s="23" t="s">
        <v>116</v>
      </c>
      <c r="P62" s="23" t="s">
        <v>95</v>
      </c>
      <c r="Q62" s="38">
        <f t="shared" si="1"/>
        <v>0</v>
      </c>
      <c r="R62" s="38">
        <f t="shared" si="2"/>
        <v>30</v>
      </c>
      <c r="S62" s="35">
        <f t="array" ref="S62">IF(Q62=1,IFERROR(INDEX(Parameters!$B$32:$B$37,MATCH(I62,Parameters!$A$32:$A$37,0)),0),0)</f>
        <v>0</v>
      </c>
      <c r="T62" s="4"/>
      <c r="U62" s="4"/>
      <c r="V62" s="4"/>
      <c r="W62" s="4"/>
      <c r="X62" s="4"/>
      <c r="Y62" s="4"/>
      <c r="Z62" s="4"/>
      <c r="AA62" s="4"/>
      <c r="AB62" s="4"/>
    </row>
    <row r="63" ht="24.0" customHeight="1">
      <c r="A63" s="23" t="s">
        <v>108</v>
      </c>
      <c r="B63" s="23" t="s">
        <v>683</v>
      </c>
      <c r="C63" s="23" t="s">
        <v>684</v>
      </c>
      <c r="D63" s="23" t="s">
        <v>101</v>
      </c>
      <c r="E63" s="23" t="s">
        <v>685</v>
      </c>
      <c r="F63" s="23" t="s">
        <v>686</v>
      </c>
      <c r="G63" s="23" t="s">
        <v>683</v>
      </c>
      <c r="H63" s="23" t="s">
        <v>117</v>
      </c>
      <c r="I63" s="23" t="s">
        <v>120</v>
      </c>
      <c r="J63" s="23" t="s">
        <v>691</v>
      </c>
      <c r="K63" s="23" t="s">
        <v>173</v>
      </c>
      <c r="L63" s="23" t="s">
        <v>692</v>
      </c>
      <c r="M63" s="23" t="s">
        <v>96</v>
      </c>
      <c r="N63" s="35">
        <f t="array" ref="N63">IF(M63="","",IFERROR(INDEX(Parameters!$B$9:$B$11,MATCH(M63,Parameters!$A$9:$A$11,0)),"?"))</f>
        <v>8</v>
      </c>
      <c r="O63" s="23" t="s">
        <v>116</v>
      </c>
      <c r="P63" s="23" t="s">
        <v>116</v>
      </c>
      <c r="Q63" s="38">
        <f t="shared" si="1"/>
        <v>0</v>
      </c>
      <c r="R63" s="38">
        <f t="shared" si="2"/>
        <v>30</v>
      </c>
      <c r="S63" s="35">
        <f t="array" ref="S63">IF(Q63=1,IFERROR(INDEX(Parameters!$B$32:$B$37,MATCH(I63,Parameters!$A$32:$A$37,0)),0),0)</f>
        <v>0</v>
      </c>
      <c r="T63" s="4"/>
      <c r="U63" s="4"/>
      <c r="V63" s="4"/>
      <c r="W63" s="4"/>
      <c r="X63" s="4"/>
      <c r="Y63" s="4"/>
      <c r="Z63" s="4"/>
      <c r="AA63" s="4"/>
      <c r="AB63" s="4"/>
    </row>
    <row r="64" ht="24.0" customHeight="1">
      <c r="A64" s="23" t="s">
        <v>158</v>
      </c>
      <c r="B64" s="23" t="s">
        <v>693</v>
      </c>
      <c r="C64" s="23" t="s">
        <v>694</v>
      </c>
      <c r="D64" s="23" t="s">
        <v>93</v>
      </c>
      <c r="E64" s="23" t="s">
        <v>695</v>
      </c>
      <c r="F64" s="23" t="s">
        <v>696</v>
      </c>
      <c r="G64" s="23" t="s">
        <v>104</v>
      </c>
      <c r="H64" s="23" t="s">
        <v>117</v>
      </c>
      <c r="I64" s="23" t="s">
        <v>227</v>
      </c>
      <c r="J64" s="23" t="s">
        <v>697</v>
      </c>
      <c r="K64" s="23" t="s">
        <v>129</v>
      </c>
      <c r="L64" s="23" t="s">
        <v>698</v>
      </c>
      <c r="M64" s="23" t="s">
        <v>96</v>
      </c>
      <c r="N64" s="35">
        <f t="array" ref="N64">IF(M64="","",IFERROR(INDEX(Parameters!$B$9:$B$11,MATCH(M64,Parameters!$A$9:$A$11,0)),"?"))</f>
        <v>8</v>
      </c>
      <c r="O64" s="23" t="s">
        <v>116</v>
      </c>
      <c r="P64" s="23" t="s">
        <v>95</v>
      </c>
      <c r="Q64" s="38">
        <f t="shared" si="1"/>
        <v>1</v>
      </c>
      <c r="R64" s="38">
        <f t="shared" si="2"/>
        <v>31</v>
      </c>
      <c r="S64" s="35">
        <f t="array" ref="S64">IF(Q64=1,IFERROR(INDEX(Parameters!$B$32:$B$37,MATCH(I64,Parameters!$A$32:$A$37,0)),0),0)</f>
        <v>4</v>
      </c>
      <c r="T64" s="4"/>
      <c r="U64" s="4"/>
      <c r="V64" s="4"/>
      <c r="W64" s="4"/>
      <c r="X64" s="4"/>
      <c r="Y64" s="4"/>
      <c r="Z64" s="4"/>
      <c r="AA64" s="4"/>
      <c r="AB64" s="4"/>
    </row>
    <row r="65" ht="24.0" customHeight="1">
      <c r="A65" s="23" t="s">
        <v>158</v>
      </c>
      <c r="B65" s="23" t="s">
        <v>693</v>
      </c>
      <c r="C65" s="23" t="s">
        <v>694</v>
      </c>
      <c r="D65" s="23" t="s">
        <v>93</v>
      </c>
      <c r="E65" s="23" t="s">
        <v>695</v>
      </c>
      <c r="F65" s="23" t="s">
        <v>696</v>
      </c>
      <c r="G65" s="23" t="s">
        <v>693</v>
      </c>
      <c r="H65" s="23" t="s">
        <v>117</v>
      </c>
      <c r="I65" s="23" t="s">
        <v>227</v>
      </c>
      <c r="J65" s="23" t="s">
        <v>699</v>
      </c>
      <c r="K65" s="23" t="s">
        <v>168</v>
      </c>
      <c r="L65" s="23" t="s">
        <v>700</v>
      </c>
      <c r="M65" s="23" t="s">
        <v>96</v>
      </c>
      <c r="N65" s="35">
        <f t="array" ref="N65">IF(M65="","",IFERROR(INDEX(Parameters!$B$9:$B$11,MATCH(M65,Parameters!$A$9:$A$11,0)),"?"))</f>
        <v>8</v>
      </c>
      <c r="O65" s="23" t="s">
        <v>116</v>
      </c>
      <c r="P65" s="23" t="s">
        <v>95</v>
      </c>
      <c r="Q65" s="38">
        <f t="shared" si="1"/>
        <v>0</v>
      </c>
      <c r="R65" s="38">
        <f t="shared" si="2"/>
        <v>31</v>
      </c>
      <c r="S65" s="35">
        <f t="array" ref="S65">IF(Q65=1,IFERROR(INDEX(Parameters!$B$32:$B$37,MATCH(I65,Parameters!$A$32:$A$37,0)),0),0)</f>
        <v>0</v>
      </c>
      <c r="T65" s="4"/>
      <c r="U65" s="4"/>
      <c r="V65" s="4"/>
      <c r="W65" s="4"/>
      <c r="X65" s="4"/>
      <c r="Y65" s="4"/>
      <c r="Z65" s="4"/>
      <c r="AA65" s="4"/>
      <c r="AB65" s="4"/>
    </row>
    <row r="66" ht="24.0" customHeight="1">
      <c r="A66" s="23" t="s">
        <v>158</v>
      </c>
      <c r="B66" s="23" t="s">
        <v>693</v>
      </c>
      <c r="C66" s="23" t="s">
        <v>694</v>
      </c>
      <c r="D66" s="23" t="s">
        <v>93</v>
      </c>
      <c r="E66" s="23" t="s">
        <v>695</v>
      </c>
      <c r="F66" s="23" t="s">
        <v>696</v>
      </c>
      <c r="G66" s="23" t="s">
        <v>693</v>
      </c>
      <c r="H66" s="23" t="s">
        <v>117</v>
      </c>
      <c r="I66" s="23" t="s">
        <v>227</v>
      </c>
      <c r="J66" s="23" t="s">
        <v>701</v>
      </c>
      <c r="K66" s="23" t="s">
        <v>173</v>
      </c>
      <c r="L66" s="23" t="s">
        <v>702</v>
      </c>
      <c r="M66" s="23" t="s">
        <v>96</v>
      </c>
      <c r="N66" s="35">
        <f t="array" ref="N66">IF(M66="","",IFERROR(INDEX(Parameters!$B$9:$B$11,MATCH(M66,Parameters!$A$9:$A$11,0)),"?"))</f>
        <v>8</v>
      </c>
      <c r="O66" s="23" t="s">
        <v>116</v>
      </c>
      <c r="P66" s="23" t="s">
        <v>116</v>
      </c>
      <c r="Q66" s="38">
        <f t="shared" si="1"/>
        <v>0</v>
      </c>
      <c r="R66" s="38">
        <f t="shared" si="2"/>
        <v>31</v>
      </c>
      <c r="S66" s="35">
        <f t="array" ref="S66">IF(Q66=1,IFERROR(INDEX(Parameters!$B$32:$B$37,MATCH(I66,Parameters!$A$32:$A$37,0)),0),0)</f>
        <v>0</v>
      </c>
      <c r="T66" s="4"/>
      <c r="U66" s="4"/>
      <c r="V66" s="4"/>
      <c r="W66" s="4"/>
      <c r="X66" s="4"/>
      <c r="Y66" s="4"/>
      <c r="Z66" s="4"/>
      <c r="AA66" s="4"/>
      <c r="AB66" s="4"/>
    </row>
    <row r="67" ht="24.0" customHeight="1">
      <c r="A67" s="23" t="s">
        <v>158</v>
      </c>
      <c r="B67" s="23" t="s">
        <v>704</v>
      </c>
      <c r="C67" s="23" t="s">
        <v>705</v>
      </c>
      <c r="D67" s="23" t="s">
        <v>93</v>
      </c>
      <c r="E67" s="23" t="s">
        <v>706</v>
      </c>
      <c r="F67" s="23" t="s">
        <v>707</v>
      </c>
      <c r="G67" s="23" t="s">
        <v>693</v>
      </c>
      <c r="H67" s="23" t="s">
        <v>117</v>
      </c>
      <c r="I67" s="23" t="s">
        <v>227</v>
      </c>
      <c r="J67" s="23" t="s">
        <v>708</v>
      </c>
      <c r="K67" s="23" t="s">
        <v>129</v>
      </c>
      <c r="L67" s="23" t="s">
        <v>709</v>
      </c>
      <c r="M67" s="23" t="s">
        <v>54</v>
      </c>
      <c r="N67" s="35">
        <f t="array" ref="N67">IF(M67="","",IFERROR(INDEX(Parameters!$B$9:$B$11,MATCH(M67,Parameters!$A$9:$A$11,0)),"?"))</f>
        <v>4</v>
      </c>
      <c r="O67" s="23" t="s">
        <v>116</v>
      </c>
      <c r="P67" s="23" t="s">
        <v>95</v>
      </c>
      <c r="Q67" s="38">
        <f t="shared" si="1"/>
        <v>1</v>
      </c>
      <c r="R67" s="38">
        <f t="shared" si="2"/>
        <v>32</v>
      </c>
      <c r="S67" s="35">
        <f t="array" ref="S67">IF(Q67=1,IFERROR(INDEX(Parameters!$B$32:$B$37,MATCH(I67,Parameters!$A$32:$A$37,0)),0),0)</f>
        <v>4</v>
      </c>
      <c r="T67" s="4"/>
      <c r="U67" s="4"/>
      <c r="V67" s="4"/>
      <c r="W67" s="4"/>
      <c r="X67" s="4"/>
      <c r="Y67" s="4"/>
      <c r="Z67" s="4"/>
      <c r="AA67" s="4"/>
      <c r="AB67" s="4"/>
    </row>
    <row r="68" ht="24.0" customHeight="1">
      <c r="A68" s="23" t="s">
        <v>158</v>
      </c>
      <c r="B68" s="23" t="s">
        <v>704</v>
      </c>
      <c r="C68" s="23" t="s">
        <v>705</v>
      </c>
      <c r="D68" s="23" t="s">
        <v>93</v>
      </c>
      <c r="E68" s="23" t="s">
        <v>706</v>
      </c>
      <c r="F68" s="23" t="s">
        <v>707</v>
      </c>
      <c r="G68" s="23" t="s">
        <v>704</v>
      </c>
      <c r="H68" s="23" t="s">
        <v>117</v>
      </c>
      <c r="I68" s="23" t="s">
        <v>227</v>
      </c>
      <c r="J68" s="23" t="s">
        <v>719</v>
      </c>
      <c r="K68" s="23" t="s">
        <v>168</v>
      </c>
      <c r="L68" s="23" t="s">
        <v>720</v>
      </c>
      <c r="M68" s="23" t="s">
        <v>96</v>
      </c>
      <c r="N68" s="35">
        <f t="array" ref="N68">IF(M68="","",IFERROR(INDEX(Parameters!$B$9:$B$11,MATCH(M68,Parameters!$A$9:$A$11,0)),"?"))</f>
        <v>8</v>
      </c>
      <c r="O68" s="23" t="s">
        <v>116</v>
      </c>
      <c r="P68" s="23" t="s">
        <v>95</v>
      </c>
      <c r="Q68" s="38">
        <f t="shared" si="1"/>
        <v>0</v>
      </c>
      <c r="R68" s="38">
        <f t="shared" si="2"/>
        <v>32</v>
      </c>
      <c r="S68" s="35">
        <f t="array" ref="S68">IF(Q68=1,IFERROR(INDEX(Parameters!$B$32:$B$37,MATCH(I68,Parameters!$A$32:$A$37,0)),0),0)</f>
        <v>0</v>
      </c>
      <c r="T68" s="4"/>
      <c r="U68" s="4"/>
      <c r="V68" s="4"/>
      <c r="W68" s="4"/>
      <c r="X68" s="4"/>
      <c r="Y68" s="4"/>
      <c r="Z68" s="4"/>
      <c r="AA68" s="4"/>
      <c r="AB68" s="4"/>
    </row>
    <row r="69" ht="24.0" customHeight="1">
      <c r="A69" s="23" t="s">
        <v>158</v>
      </c>
      <c r="B69" s="23" t="s">
        <v>727</v>
      </c>
      <c r="C69" s="23" t="s">
        <v>728</v>
      </c>
      <c r="D69" s="23" t="s">
        <v>93</v>
      </c>
      <c r="E69" s="23" t="s">
        <v>729</v>
      </c>
      <c r="F69" s="23" t="s">
        <v>707</v>
      </c>
      <c r="G69" s="23" t="s">
        <v>704</v>
      </c>
      <c r="H69" s="23" t="s">
        <v>389</v>
      </c>
      <c r="I69" s="23" t="s">
        <v>227</v>
      </c>
      <c r="J69" s="23" t="s">
        <v>731</v>
      </c>
      <c r="K69" s="23" t="s">
        <v>129</v>
      </c>
      <c r="L69" s="23" t="s">
        <v>732</v>
      </c>
      <c r="M69" s="23" t="s">
        <v>54</v>
      </c>
      <c r="N69" s="35">
        <f t="array" ref="N69">IF(M69="","",IFERROR(INDEX(Parameters!$B$9:$B$11,MATCH(M69,Parameters!$A$9:$A$11,0)),"?"))</f>
        <v>4</v>
      </c>
      <c r="O69" s="23" t="s">
        <v>116</v>
      </c>
      <c r="P69" s="23" t="s">
        <v>95</v>
      </c>
      <c r="Q69" s="38">
        <f t="shared" si="1"/>
        <v>1</v>
      </c>
      <c r="R69" s="38">
        <f t="shared" si="2"/>
        <v>33</v>
      </c>
      <c r="S69" s="35">
        <f t="array" ref="S69">IF(Q69=1,IFERROR(INDEX(Parameters!$B$32:$B$37,MATCH(I69,Parameters!$A$32:$A$37,0)),0),0)</f>
        <v>4</v>
      </c>
      <c r="T69" s="4"/>
      <c r="U69" s="4"/>
      <c r="V69" s="4"/>
      <c r="W69" s="4"/>
      <c r="X69" s="4"/>
      <c r="Y69" s="4"/>
      <c r="Z69" s="4"/>
      <c r="AA69" s="4"/>
      <c r="AB69" s="4"/>
    </row>
    <row r="70" ht="24.0" customHeight="1">
      <c r="A70" s="23" t="s">
        <v>158</v>
      </c>
      <c r="B70" s="23" t="s">
        <v>727</v>
      </c>
      <c r="C70" s="23" t="s">
        <v>728</v>
      </c>
      <c r="D70" s="23" t="s">
        <v>93</v>
      </c>
      <c r="E70" s="23" t="s">
        <v>729</v>
      </c>
      <c r="F70" s="23" t="s">
        <v>707</v>
      </c>
      <c r="G70" s="23" t="s">
        <v>727</v>
      </c>
      <c r="H70" s="23" t="s">
        <v>389</v>
      </c>
      <c r="I70" s="23" t="s">
        <v>227</v>
      </c>
      <c r="J70" s="23" t="s">
        <v>746</v>
      </c>
      <c r="K70" s="23" t="s">
        <v>168</v>
      </c>
      <c r="L70" s="23" t="s">
        <v>747</v>
      </c>
      <c r="M70" s="23" t="s">
        <v>96</v>
      </c>
      <c r="N70" s="35">
        <f t="array" ref="N70">IF(M70="","",IFERROR(INDEX(Parameters!$B$9:$B$11,MATCH(M70,Parameters!$A$9:$A$11,0)),"?"))</f>
        <v>8</v>
      </c>
      <c r="O70" s="23" t="s">
        <v>116</v>
      </c>
      <c r="P70" s="23" t="s">
        <v>95</v>
      </c>
      <c r="Q70" s="38">
        <f t="shared" si="1"/>
        <v>0</v>
      </c>
      <c r="R70" s="38">
        <f t="shared" si="2"/>
        <v>33</v>
      </c>
      <c r="S70" s="35">
        <f t="array" ref="S70">IF(Q70=1,IFERROR(INDEX(Parameters!$B$32:$B$37,MATCH(I70,Parameters!$A$32:$A$37,0)),0),0)</f>
        <v>0</v>
      </c>
      <c r="T70" s="4"/>
      <c r="U70" s="4"/>
      <c r="V70" s="4"/>
      <c r="W70" s="4"/>
      <c r="X70" s="4"/>
      <c r="Y70" s="4"/>
      <c r="Z70" s="4"/>
      <c r="AA70" s="4"/>
      <c r="AB70" s="4"/>
    </row>
    <row r="71" ht="24.0" customHeight="1">
      <c r="A71" s="23" t="s">
        <v>158</v>
      </c>
      <c r="B71" s="23" t="s">
        <v>727</v>
      </c>
      <c r="C71" s="23" t="s">
        <v>728</v>
      </c>
      <c r="D71" s="23" t="s">
        <v>93</v>
      </c>
      <c r="E71" s="23" t="s">
        <v>729</v>
      </c>
      <c r="F71" s="23" t="s">
        <v>707</v>
      </c>
      <c r="G71" s="23" t="s">
        <v>727</v>
      </c>
      <c r="H71" s="23" t="s">
        <v>389</v>
      </c>
      <c r="I71" s="23" t="s">
        <v>227</v>
      </c>
      <c r="J71" s="23" t="s">
        <v>751</v>
      </c>
      <c r="K71" s="23" t="s">
        <v>173</v>
      </c>
      <c r="L71" s="23" t="s">
        <v>753</v>
      </c>
      <c r="M71" s="23" t="s">
        <v>96</v>
      </c>
      <c r="N71" s="35">
        <f t="array" ref="N71">IF(M71="","",IFERROR(INDEX(Parameters!$B$9:$B$11,MATCH(M71,Parameters!$A$9:$A$11,0)),"?"))</f>
        <v>8</v>
      </c>
      <c r="O71" s="23" t="s">
        <v>116</v>
      </c>
      <c r="P71" s="23" t="s">
        <v>116</v>
      </c>
      <c r="Q71" s="38">
        <f t="shared" si="1"/>
        <v>0</v>
      </c>
      <c r="R71" s="38">
        <f t="shared" si="2"/>
        <v>33</v>
      </c>
      <c r="S71" s="35">
        <f t="array" ref="S71">IF(Q71=1,IFERROR(INDEX(Parameters!$B$32:$B$37,MATCH(I71,Parameters!$A$32:$A$37,0)),0),0)</f>
        <v>0</v>
      </c>
      <c r="T71" s="4"/>
      <c r="U71" s="4"/>
      <c r="V71" s="4"/>
      <c r="W71" s="4"/>
      <c r="X71" s="4"/>
      <c r="Y71" s="4"/>
      <c r="Z71" s="4"/>
      <c r="AA71" s="4"/>
      <c r="AB71" s="4"/>
    </row>
    <row r="72" ht="24.0" customHeight="1">
      <c r="A72" s="23" t="s">
        <v>158</v>
      </c>
      <c r="B72" s="23" t="s">
        <v>763</v>
      </c>
      <c r="C72" s="23" t="s">
        <v>764</v>
      </c>
      <c r="D72" s="23" t="s">
        <v>101</v>
      </c>
      <c r="E72" s="23" t="s">
        <v>765</v>
      </c>
      <c r="F72" s="23" t="s">
        <v>766</v>
      </c>
      <c r="G72" s="23" t="s">
        <v>727</v>
      </c>
      <c r="H72" s="23" t="s">
        <v>117</v>
      </c>
      <c r="I72" s="23" t="s">
        <v>254</v>
      </c>
      <c r="J72" s="23" t="s">
        <v>767</v>
      </c>
      <c r="K72" s="23" t="s">
        <v>168</v>
      </c>
      <c r="L72" s="23" t="s">
        <v>768</v>
      </c>
      <c r="M72" s="23" t="s">
        <v>96</v>
      </c>
      <c r="N72" s="35">
        <f t="array" ref="N72">IF(M72="","",IFERROR(INDEX(Parameters!$B$9:$B$11,MATCH(M72,Parameters!$A$9:$A$11,0)),"?"))</f>
        <v>8</v>
      </c>
      <c r="O72" s="23" t="s">
        <v>116</v>
      </c>
      <c r="P72" s="23" t="s">
        <v>116</v>
      </c>
      <c r="Q72" s="38">
        <f t="shared" si="1"/>
        <v>1</v>
      </c>
      <c r="R72" s="38">
        <f t="shared" si="2"/>
        <v>34</v>
      </c>
      <c r="S72" s="35">
        <f t="array" ref="S72">IF(Q72=1,IFERROR(INDEX(Parameters!$B$32:$B$37,MATCH(I72,Parameters!$A$32:$A$37,0)),0),0)</f>
        <v>0</v>
      </c>
      <c r="T72" s="4"/>
      <c r="U72" s="4"/>
      <c r="V72" s="4"/>
      <c r="W72" s="4"/>
      <c r="X72" s="4"/>
      <c r="Y72" s="4"/>
      <c r="Z72" s="4"/>
      <c r="AA72" s="4"/>
      <c r="AB72" s="4"/>
    </row>
    <row r="73" ht="24.0" customHeight="1">
      <c r="A73" s="23" t="s">
        <v>158</v>
      </c>
      <c r="B73" s="23" t="s">
        <v>763</v>
      </c>
      <c r="C73" s="23" t="s">
        <v>764</v>
      </c>
      <c r="D73" s="23" t="s">
        <v>101</v>
      </c>
      <c r="E73" s="23" t="s">
        <v>765</v>
      </c>
      <c r="F73" s="23" t="s">
        <v>766</v>
      </c>
      <c r="G73" s="23" t="s">
        <v>763</v>
      </c>
      <c r="H73" s="23" t="s">
        <v>117</v>
      </c>
      <c r="I73" s="23" t="s">
        <v>254</v>
      </c>
      <c r="J73" s="23" t="s">
        <v>777</v>
      </c>
      <c r="K73" s="23" t="s">
        <v>173</v>
      </c>
      <c r="L73" s="23" t="s">
        <v>778</v>
      </c>
      <c r="M73" s="23" t="s">
        <v>96</v>
      </c>
      <c r="N73" s="35">
        <f t="array" ref="N73">IF(M73="","",IFERROR(INDEX(Parameters!$B$9:$B$11,MATCH(M73,Parameters!$A$9:$A$11,0)),"?"))</f>
        <v>8</v>
      </c>
      <c r="O73" s="23" t="s">
        <v>116</v>
      </c>
      <c r="P73" s="23" t="s">
        <v>116</v>
      </c>
      <c r="Q73" s="38">
        <f t="shared" si="1"/>
        <v>0</v>
      </c>
      <c r="R73" s="38">
        <f t="shared" si="2"/>
        <v>34</v>
      </c>
      <c r="S73" s="35">
        <f t="array" ref="S73">IF(Q73=1,IFERROR(INDEX(Parameters!$B$32:$B$37,MATCH(I73,Parameters!$A$32:$A$37,0)),0),0)</f>
        <v>0</v>
      </c>
      <c r="T73" s="4"/>
      <c r="U73" s="4"/>
      <c r="V73" s="4"/>
      <c r="W73" s="4"/>
      <c r="X73" s="4"/>
      <c r="Y73" s="4"/>
      <c r="Z73" s="4"/>
      <c r="AA73" s="4"/>
      <c r="AB73" s="4"/>
    </row>
    <row r="74" ht="24.0" customHeight="1">
      <c r="A74" s="23" t="s">
        <v>158</v>
      </c>
      <c r="B74" s="23" t="s">
        <v>785</v>
      </c>
      <c r="C74" s="23" t="s">
        <v>786</v>
      </c>
      <c r="D74" s="23" t="s">
        <v>93</v>
      </c>
      <c r="E74" s="23" t="s">
        <v>787</v>
      </c>
      <c r="F74" s="23" t="s">
        <v>788</v>
      </c>
      <c r="G74" s="23" t="s">
        <v>763</v>
      </c>
      <c r="H74" s="23" t="s">
        <v>389</v>
      </c>
      <c r="I74" s="23" t="s">
        <v>227</v>
      </c>
      <c r="J74" s="23" t="s">
        <v>789</v>
      </c>
      <c r="K74" s="23" t="s">
        <v>129</v>
      </c>
      <c r="L74" s="23" t="s">
        <v>790</v>
      </c>
      <c r="M74" s="23" t="s">
        <v>54</v>
      </c>
      <c r="N74" s="35">
        <f t="array" ref="N74">IF(M74="","",IFERROR(INDEX(Parameters!$B$9:$B$11,MATCH(M74,Parameters!$A$9:$A$11,0)),"?"))</f>
        <v>4</v>
      </c>
      <c r="O74" s="23" t="s">
        <v>116</v>
      </c>
      <c r="P74" s="23" t="s">
        <v>95</v>
      </c>
      <c r="Q74" s="38">
        <f t="shared" si="1"/>
        <v>1</v>
      </c>
      <c r="R74" s="38">
        <f t="shared" si="2"/>
        <v>35</v>
      </c>
      <c r="S74" s="35">
        <f t="array" ref="S74">IF(Q74=1,IFERROR(INDEX(Parameters!$B$32:$B$37,MATCH(I74,Parameters!$A$32:$A$37,0)),0),0)</f>
        <v>4</v>
      </c>
      <c r="T74" s="4"/>
      <c r="U74" s="4"/>
      <c r="V74" s="4"/>
      <c r="W74" s="4"/>
      <c r="X74" s="4"/>
      <c r="Y74" s="4"/>
      <c r="Z74" s="4"/>
      <c r="AA74" s="4"/>
      <c r="AB74" s="4"/>
    </row>
    <row r="75" ht="24.0" customHeight="1">
      <c r="A75" s="23" t="s">
        <v>158</v>
      </c>
      <c r="B75" s="23" t="s">
        <v>785</v>
      </c>
      <c r="C75" s="23" t="s">
        <v>786</v>
      </c>
      <c r="D75" s="23" t="s">
        <v>93</v>
      </c>
      <c r="E75" s="23" t="s">
        <v>787</v>
      </c>
      <c r="F75" s="23" t="s">
        <v>788</v>
      </c>
      <c r="G75" s="23" t="s">
        <v>785</v>
      </c>
      <c r="H75" s="23" t="s">
        <v>389</v>
      </c>
      <c r="I75" s="23" t="s">
        <v>227</v>
      </c>
      <c r="J75" s="23" t="s">
        <v>791</v>
      </c>
      <c r="K75" s="23" t="s">
        <v>168</v>
      </c>
      <c r="L75" s="23" t="s">
        <v>792</v>
      </c>
      <c r="M75" s="23" t="s">
        <v>96</v>
      </c>
      <c r="N75" s="35">
        <f t="array" ref="N75">IF(M75="","",IFERROR(INDEX(Parameters!$B$9:$B$11,MATCH(M75,Parameters!$A$9:$A$11,0)),"?"))</f>
        <v>8</v>
      </c>
      <c r="O75" s="23" t="s">
        <v>116</v>
      </c>
      <c r="P75" s="23" t="s">
        <v>95</v>
      </c>
      <c r="Q75" s="38">
        <f t="shared" si="1"/>
        <v>0</v>
      </c>
      <c r="R75" s="38">
        <f t="shared" si="2"/>
        <v>35</v>
      </c>
      <c r="S75" s="35">
        <f t="array" ref="S75">IF(Q75=1,IFERROR(INDEX(Parameters!$B$32:$B$37,MATCH(I75,Parameters!$A$32:$A$37,0)),0),0)</f>
        <v>0</v>
      </c>
      <c r="T75" s="4"/>
      <c r="U75" s="4"/>
      <c r="V75" s="4"/>
      <c r="W75" s="4"/>
      <c r="X75" s="4"/>
      <c r="Y75" s="4"/>
      <c r="Z75" s="4"/>
      <c r="AA75" s="4"/>
      <c r="AB75" s="4"/>
    </row>
    <row r="76" ht="24.0" customHeight="1">
      <c r="A76" s="23" t="s">
        <v>158</v>
      </c>
      <c r="B76" s="23" t="s">
        <v>795</v>
      </c>
      <c r="C76" s="23" t="s">
        <v>796</v>
      </c>
      <c r="D76" s="23" t="s">
        <v>93</v>
      </c>
      <c r="E76" s="23" t="s">
        <v>798</v>
      </c>
      <c r="F76" s="23" t="s">
        <v>799</v>
      </c>
      <c r="G76" s="23" t="s">
        <v>785</v>
      </c>
      <c r="H76" s="23" t="s">
        <v>389</v>
      </c>
      <c r="I76" s="23" t="s">
        <v>254</v>
      </c>
      <c r="J76" s="23" t="s">
        <v>800</v>
      </c>
      <c r="K76" s="23" t="s">
        <v>168</v>
      </c>
      <c r="L76" s="23" t="s">
        <v>801</v>
      </c>
      <c r="M76" s="23" t="s">
        <v>54</v>
      </c>
      <c r="N76" s="35">
        <f t="array" ref="N76">IF(M76="","",IFERROR(INDEX(Parameters!$B$9:$B$11,MATCH(M76,Parameters!$A$9:$A$11,0)),"?"))</f>
        <v>4</v>
      </c>
      <c r="O76" s="23" t="s">
        <v>116</v>
      </c>
      <c r="P76" s="23" t="s">
        <v>95</v>
      </c>
      <c r="Q76" s="38">
        <f t="shared" si="1"/>
        <v>1</v>
      </c>
      <c r="R76" s="38">
        <f t="shared" si="2"/>
        <v>36</v>
      </c>
      <c r="S76" s="35">
        <f t="array" ref="S76">IF(Q76=1,IFERROR(INDEX(Parameters!$B$32:$B$37,MATCH(I76,Parameters!$A$32:$A$37,0)),0),0)</f>
        <v>0</v>
      </c>
      <c r="T76" s="4"/>
      <c r="U76" s="4"/>
      <c r="V76" s="4"/>
      <c r="W76" s="4"/>
      <c r="X76" s="4"/>
      <c r="Y76" s="4"/>
      <c r="Z76" s="4"/>
      <c r="AA76" s="4"/>
      <c r="AB76" s="4"/>
    </row>
    <row r="77" ht="24.0" customHeight="1">
      <c r="A77" s="23" t="s">
        <v>158</v>
      </c>
      <c r="B77" s="23" t="s">
        <v>803</v>
      </c>
      <c r="C77" s="23" t="s">
        <v>804</v>
      </c>
      <c r="D77" s="23" t="s">
        <v>805</v>
      </c>
      <c r="E77" s="23" t="s">
        <v>806</v>
      </c>
      <c r="F77" s="23" t="s">
        <v>807</v>
      </c>
      <c r="G77" s="23" t="s">
        <v>795</v>
      </c>
      <c r="H77" s="23" t="s">
        <v>117</v>
      </c>
      <c r="I77" s="23" t="s">
        <v>227</v>
      </c>
      <c r="J77" s="23" t="s">
        <v>808</v>
      </c>
      <c r="K77" s="23" t="s">
        <v>129</v>
      </c>
      <c r="L77" s="23" t="s">
        <v>809</v>
      </c>
      <c r="M77" s="23" t="s">
        <v>54</v>
      </c>
      <c r="N77" s="35">
        <f t="array" ref="N77">IF(M77="","",IFERROR(INDEX(Parameters!$B$9:$B$11,MATCH(M77,Parameters!$A$9:$A$11,0)),"?"))</f>
        <v>4</v>
      </c>
      <c r="O77" s="23" t="s">
        <v>116</v>
      </c>
      <c r="P77" s="23" t="s">
        <v>95</v>
      </c>
      <c r="Q77" s="38">
        <f t="shared" si="1"/>
        <v>1</v>
      </c>
      <c r="R77" s="38">
        <f t="shared" si="2"/>
        <v>37</v>
      </c>
      <c r="S77" s="35">
        <f t="array" ref="S77">IF(Q77=1,IFERROR(INDEX(Parameters!$B$32:$B$37,MATCH(I77,Parameters!$A$32:$A$37,0)),0),0)</f>
        <v>4</v>
      </c>
      <c r="T77" s="4"/>
      <c r="U77" s="4"/>
      <c r="V77" s="4"/>
      <c r="W77" s="4"/>
      <c r="X77" s="4"/>
      <c r="Y77" s="4"/>
      <c r="Z77" s="4"/>
      <c r="AA77" s="4"/>
      <c r="AB77" s="4"/>
    </row>
    <row r="78" ht="24.0" customHeight="1">
      <c r="A78" s="23" t="s">
        <v>158</v>
      </c>
      <c r="B78" s="23" t="s">
        <v>803</v>
      </c>
      <c r="C78" s="23" t="s">
        <v>804</v>
      </c>
      <c r="D78" s="23" t="s">
        <v>805</v>
      </c>
      <c r="E78" s="23" t="s">
        <v>806</v>
      </c>
      <c r="F78" s="23" t="s">
        <v>807</v>
      </c>
      <c r="G78" s="23" t="s">
        <v>803</v>
      </c>
      <c r="H78" s="23" t="s">
        <v>117</v>
      </c>
      <c r="I78" s="23" t="s">
        <v>227</v>
      </c>
      <c r="J78" s="23" t="s">
        <v>813</v>
      </c>
      <c r="K78" s="23" t="s">
        <v>168</v>
      </c>
      <c r="L78" s="23" t="s">
        <v>814</v>
      </c>
      <c r="M78" s="23" t="s">
        <v>96</v>
      </c>
      <c r="N78" s="35">
        <f t="array" ref="N78">IF(M78="","",IFERROR(INDEX(Parameters!$B$9:$B$11,MATCH(M78,Parameters!$A$9:$A$11,0)),"?"))</f>
        <v>8</v>
      </c>
      <c r="O78" s="23" t="s">
        <v>116</v>
      </c>
      <c r="P78" s="23" t="s">
        <v>95</v>
      </c>
      <c r="Q78" s="38">
        <f t="shared" si="1"/>
        <v>0</v>
      </c>
      <c r="R78" s="38">
        <f t="shared" si="2"/>
        <v>37</v>
      </c>
      <c r="S78" s="35">
        <f t="array" ref="S78">IF(Q78=1,IFERROR(INDEX(Parameters!$B$32:$B$37,MATCH(I78,Parameters!$A$32:$A$37,0)),0),0)</f>
        <v>0</v>
      </c>
      <c r="T78" s="4"/>
      <c r="U78" s="4"/>
      <c r="V78" s="4"/>
      <c r="W78" s="4"/>
      <c r="X78" s="4"/>
      <c r="Y78" s="4"/>
      <c r="Z78" s="4"/>
      <c r="AA78" s="4"/>
      <c r="AB78" s="4"/>
    </row>
    <row r="79" ht="24.0" customHeight="1">
      <c r="A79" s="23" t="s">
        <v>158</v>
      </c>
      <c r="B79" s="23" t="s">
        <v>803</v>
      </c>
      <c r="C79" s="23" t="s">
        <v>804</v>
      </c>
      <c r="D79" s="23" t="s">
        <v>805</v>
      </c>
      <c r="E79" s="23" t="s">
        <v>806</v>
      </c>
      <c r="F79" s="23" t="s">
        <v>807</v>
      </c>
      <c r="G79" s="23" t="s">
        <v>803</v>
      </c>
      <c r="H79" s="23" t="s">
        <v>117</v>
      </c>
      <c r="I79" s="23" t="s">
        <v>227</v>
      </c>
      <c r="J79" s="23" t="s">
        <v>819</v>
      </c>
      <c r="K79" s="23" t="s">
        <v>173</v>
      </c>
      <c r="L79" s="23" t="s">
        <v>820</v>
      </c>
      <c r="M79" s="23" t="s">
        <v>96</v>
      </c>
      <c r="N79" s="35">
        <f t="array" ref="N79">IF(M79="","",IFERROR(INDEX(Parameters!$B$9:$B$11,MATCH(M79,Parameters!$A$9:$A$11,0)),"?"))</f>
        <v>8</v>
      </c>
      <c r="O79" s="23" t="s">
        <v>116</v>
      </c>
      <c r="P79" s="23" t="s">
        <v>116</v>
      </c>
      <c r="Q79" s="38">
        <f t="shared" si="1"/>
        <v>0</v>
      </c>
      <c r="R79" s="38">
        <f t="shared" si="2"/>
        <v>37</v>
      </c>
      <c r="S79" s="35">
        <f t="array" ref="S79">IF(Q79=1,IFERROR(INDEX(Parameters!$B$32:$B$37,MATCH(I79,Parameters!$A$32:$A$37,0)),0),0)</f>
        <v>0</v>
      </c>
      <c r="T79" s="4"/>
      <c r="U79" s="4"/>
      <c r="V79" s="4"/>
      <c r="W79" s="4"/>
      <c r="X79" s="4"/>
      <c r="Y79" s="4"/>
      <c r="Z79" s="4"/>
      <c r="AA79" s="4"/>
      <c r="AB79" s="4"/>
    </row>
    <row r="80" ht="24.0" customHeight="1">
      <c r="A80" s="23" t="s">
        <v>158</v>
      </c>
      <c r="B80" s="23" t="s">
        <v>824</v>
      </c>
      <c r="C80" s="23" t="s">
        <v>825</v>
      </c>
      <c r="D80" s="23" t="s">
        <v>805</v>
      </c>
      <c r="E80" s="23" t="s">
        <v>826</v>
      </c>
      <c r="F80" s="23" t="s">
        <v>827</v>
      </c>
      <c r="G80" s="23" t="s">
        <v>803</v>
      </c>
      <c r="H80" s="23" t="s">
        <v>117</v>
      </c>
      <c r="I80" s="23" t="s">
        <v>254</v>
      </c>
      <c r="J80" s="23" t="s">
        <v>829</v>
      </c>
      <c r="K80" s="23" t="s">
        <v>168</v>
      </c>
      <c r="L80" s="23" t="s">
        <v>830</v>
      </c>
      <c r="M80" s="23" t="s">
        <v>96</v>
      </c>
      <c r="N80" s="35">
        <f t="array" ref="N80">IF(M80="","",IFERROR(INDEX(Parameters!$B$9:$B$11,MATCH(M80,Parameters!$A$9:$A$11,0)),"?"))</f>
        <v>8</v>
      </c>
      <c r="O80" s="23" t="s">
        <v>116</v>
      </c>
      <c r="P80" s="23" t="s">
        <v>116</v>
      </c>
      <c r="Q80" s="38">
        <f t="shared" si="1"/>
        <v>1</v>
      </c>
      <c r="R80" s="38">
        <f t="shared" si="2"/>
        <v>38</v>
      </c>
      <c r="S80" s="35">
        <f t="array" ref="S80">IF(Q80=1,IFERROR(INDEX(Parameters!$B$32:$B$37,MATCH(I80,Parameters!$A$32:$A$37,0)),0),0)</f>
        <v>0</v>
      </c>
      <c r="T80" s="4"/>
      <c r="U80" s="4"/>
      <c r="V80" s="4"/>
      <c r="W80" s="4"/>
      <c r="X80" s="4"/>
      <c r="Y80" s="4"/>
      <c r="Z80" s="4"/>
      <c r="AA80" s="4"/>
      <c r="AB80" s="4"/>
    </row>
    <row r="81" ht="24.0" customHeight="1">
      <c r="A81" s="23" t="s">
        <v>158</v>
      </c>
      <c r="B81" s="23" t="s">
        <v>835</v>
      </c>
      <c r="C81" s="23" t="s">
        <v>836</v>
      </c>
      <c r="D81" s="23" t="s">
        <v>101</v>
      </c>
      <c r="E81" s="23" t="s">
        <v>837</v>
      </c>
      <c r="F81" s="23" t="s">
        <v>838</v>
      </c>
      <c r="G81" s="23" t="s">
        <v>824</v>
      </c>
      <c r="H81" s="23" t="s">
        <v>117</v>
      </c>
      <c r="I81" s="23" t="s">
        <v>254</v>
      </c>
      <c r="J81" s="23" t="s">
        <v>839</v>
      </c>
      <c r="K81" s="23" t="s">
        <v>173</v>
      </c>
      <c r="L81" s="23" t="s">
        <v>840</v>
      </c>
      <c r="M81" s="23" t="s">
        <v>107</v>
      </c>
      <c r="N81" s="35">
        <f t="array" ref="N81">IF(M81="","",IFERROR(INDEX(Parameters!$B$9:$B$11,MATCH(M81,Parameters!$A$9:$A$11,0)),"?"))</f>
        <v>16</v>
      </c>
      <c r="O81" s="23" t="s">
        <v>116</v>
      </c>
      <c r="P81" s="23" t="s">
        <v>116</v>
      </c>
      <c r="Q81" s="38">
        <f t="shared" si="1"/>
        <v>1</v>
      </c>
      <c r="R81" s="38">
        <f t="shared" si="2"/>
        <v>39</v>
      </c>
      <c r="S81" s="35">
        <f t="array" ref="S81">IF(Q81=1,IFERROR(INDEX(Parameters!$B$32:$B$37,MATCH(I81,Parameters!$A$32:$A$37,0)),0),0)</f>
        <v>0</v>
      </c>
      <c r="T81" s="4"/>
      <c r="U81" s="4"/>
      <c r="V81" s="4"/>
      <c r="W81" s="4"/>
      <c r="X81" s="4"/>
      <c r="Y81" s="4"/>
      <c r="Z81" s="4"/>
      <c r="AA81" s="4"/>
      <c r="AB81" s="4"/>
    </row>
    <row r="82" ht="24.0" customHeight="1">
      <c r="A82" s="23" t="s">
        <v>158</v>
      </c>
      <c r="B82" s="23" t="s">
        <v>841</v>
      </c>
      <c r="C82" s="23" t="s">
        <v>842</v>
      </c>
      <c r="D82" s="23" t="s">
        <v>93</v>
      </c>
      <c r="E82" s="23" t="s">
        <v>843</v>
      </c>
      <c r="F82" s="23" t="s">
        <v>844</v>
      </c>
      <c r="G82" s="23" t="s">
        <v>835</v>
      </c>
      <c r="H82" s="23" t="s">
        <v>117</v>
      </c>
      <c r="I82" s="23" t="s">
        <v>254</v>
      </c>
      <c r="J82" s="23" t="s">
        <v>845</v>
      </c>
      <c r="K82" s="23" t="s">
        <v>173</v>
      </c>
      <c r="L82" s="23" t="s">
        <v>846</v>
      </c>
      <c r="M82" s="23" t="s">
        <v>96</v>
      </c>
      <c r="N82" s="35">
        <f t="array" ref="N82">IF(M82="","",IFERROR(INDEX(Parameters!$B$9:$B$11,MATCH(M82,Parameters!$A$9:$A$11,0)),"?"))</f>
        <v>8</v>
      </c>
      <c r="O82" s="23" t="s">
        <v>116</v>
      </c>
      <c r="P82" s="23" t="s">
        <v>116</v>
      </c>
      <c r="Q82" s="38">
        <f t="shared" si="1"/>
        <v>1</v>
      </c>
      <c r="R82" s="38">
        <f t="shared" si="2"/>
        <v>40</v>
      </c>
      <c r="S82" s="35">
        <f t="array" ref="S82">IF(Q82=1,IFERROR(INDEX(Parameters!$B$32:$B$37,MATCH(I82,Parameters!$A$32:$A$37,0)),0),0)</f>
        <v>0</v>
      </c>
      <c r="T82" s="4"/>
      <c r="U82" s="4"/>
      <c r="V82" s="4"/>
      <c r="W82" s="4"/>
      <c r="X82" s="4"/>
      <c r="Y82" s="4"/>
      <c r="Z82" s="4"/>
      <c r="AA82" s="4"/>
      <c r="AB82" s="4"/>
    </row>
    <row r="83" ht="24.0" customHeight="1">
      <c r="A83" s="23" t="s">
        <v>158</v>
      </c>
      <c r="B83" s="23" t="s">
        <v>847</v>
      </c>
      <c r="C83" s="23" t="s">
        <v>848</v>
      </c>
      <c r="D83" s="23" t="s">
        <v>101</v>
      </c>
      <c r="E83" s="23" t="s">
        <v>849</v>
      </c>
      <c r="F83" s="23" t="s">
        <v>850</v>
      </c>
      <c r="G83" s="23" t="s">
        <v>841</v>
      </c>
      <c r="H83" s="23" t="s">
        <v>344</v>
      </c>
      <c r="I83" s="23" t="s">
        <v>254</v>
      </c>
      <c r="J83" s="23" t="s">
        <v>851</v>
      </c>
      <c r="K83" s="23" t="s">
        <v>168</v>
      </c>
      <c r="L83" s="23" t="s">
        <v>852</v>
      </c>
      <c r="M83" s="23" t="s">
        <v>96</v>
      </c>
      <c r="N83" s="35">
        <f t="array" ref="N83">IF(M83="","",IFERROR(INDEX(Parameters!$B$9:$B$11,MATCH(M83,Parameters!$A$9:$A$11,0)),"?"))</f>
        <v>8</v>
      </c>
      <c r="O83" s="23" t="s">
        <v>116</v>
      </c>
      <c r="P83" s="23" t="s">
        <v>116</v>
      </c>
      <c r="Q83" s="38">
        <f t="shared" si="1"/>
        <v>1</v>
      </c>
      <c r="R83" s="38">
        <f t="shared" si="2"/>
        <v>41</v>
      </c>
      <c r="S83" s="35">
        <f t="array" ref="S83">IF(Q83=1,IFERROR(INDEX(Parameters!$B$32:$B$37,MATCH(I83,Parameters!$A$32:$A$37,0)),0),0)</f>
        <v>0</v>
      </c>
      <c r="T83" s="4"/>
      <c r="U83" s="4"/>
      <c r="V83" s="4"/>
      <c r="W83" s="4"/>
      <c r="X83" s="4"/>
      <c r="Y83" s="4"/>
      <c r="Z83" s="4"/>
      <c r="AA83" s="4"/>
      <c r="AB83" s="4"/>
    </row>
    <row r="84" ht="24.0" customHeight="1">
      <c r="A84" s="23" t="s">
        <v>158</v>
      </c>
      <c r="B84" s="23" t="s">
        <v>853</v>
      </c>
      <c r="C84" s="23" t="s">
        <v>854</v>
      </c>
      <c r="D84" s="23" t="s">
        <v>101</v>
      </c>
      <c r="E84" s="23" t="s">
        <v>855</v>
      </c>
      <c r="F84" s="23" t="s">
        <v>856</v>
      </c>
      <c r="G84" s="23" t="s">
        <v>847</v>
      </c>
      <c r="H84" s="23" t="s">
        <v>117</v>
      </c>
      <c r="I84" s="23" t="s">
        <v>254</v>
      </c>
      <c r="J84" s="23" t="s">
        <v>857</v>
      </c>
      <c r="K84" s="23" t="s">
        <v>168</v>
      </c>
      <c r="L84" s="23" t="s">
        <v>858</v>
      </c>
      <c r="M84" s="23" t="s">
        <v>96</v>
      </c>
      <c r="N84" s="35">
        <f t="array" ref="N84">IF(M84="","",IFERROR(INDEX(Parameters!$B$9:$B$11,MATCH(M84,Parameters!$A$9:$A$11,0)),"?"))</f>
        <v>8</v>
      </c>
      <c r="O84" s="23" t="s">
        <v>116</v>
      </c>
      <c r="P84" s="23" t="s">
        <v>116</v>
      </c>
      <c r="Q84" s="38">
        <f t="shared" si="1"/>
        <v>1</v>
      </c>
      <c r="R84" s="38">
        <f t="shared" si="2"/>
        <v>42</v>
      </c>
      <c r="S84" s="35">
        <f t="array" ref="S84">IF(Q84=1,IFERROR(INDEX(Parameters!$B$32:$B$37,MATCH(I84,Parameters!$A$32:$A$37,0)),0),0)</f>
        <v>0</v>
      </c>
      <c r="T84" s="4"/>
      <c r="U84" s="4"/>
      <c r="V84" s="4"/>
      <c r="W84" s="4"/>
      <c r="X84" s="4"/>
      <c r="Y84" s="4"/>
      <c r="Z84" s="4"/>
      <c r="AA84" s="4"/>
      <c r="AB84" s="4"/>
    </row>
    <row r="85" ht="24.0" customHeight="1">
      <c r="A85" s="23" t="s">
        <v>158</v>
      </c>
      <c r="B85" s="23" t="s">
        <v>859</v>
      </c>
      <c r="C85" s="23" t="s">
        <v>860</v>
      </c>
      <c r="D85" s="23" t="s">
        <v>101</v>
      </c>
      <c r="E85" s="23" t="s">
        <v>861</v>
      </c>
      <c r="F85" s="23" t="s">
        <v>862</v>
      </c>
      <c r="G85" s="23" t="s">
        <v>853</v>
      </c>
      <c r="H85" s="23" t="s">
        <v>117</v>
      </c>
      <c r="I85" s="23" t="s">
        <v>254</v>
      </c>
      <c r="J85" s="23" t="s">
        <v>863</v>
      </c>
      <c r="K85" s="23" t="s">
        <v>168</v>
      </c>
      <c r="L85" s="23" t="s">
        <v>864</v>
      </c>
      <c r="M85" s="23" t="s">
        <v>107</v>
      </c>
      <c r="N85" s="35">
        <f t="array" ref="N85">IF(M85="","",IFERROR(INDEX(Parameters!$B$9:$B$11,MATCH(M85,Parameters!$A$9:$A$11,0)),"?"))</f>
        <v>16</v>
      </c>
      <c r="O85" s="23" t="s">
        <v>116</v>
      </c>
      <c r="P85" s="23" t="s">
        <v>116</v>
      </c>
      <c r="Q85" s="38">
        <f t="shared" si="1"/>
        <v>1</v>
      </c>
      <c r="R85" s="38">
        <f t="shared" si="2"/>
        <v>43</v>
      </c>
      <c r="S85" s="35">
        <f t="array" ref="S85">IF(Q85=1,IFERROR(INDEX(Parameters!$B$32:$B$37,MATCH(I85,Parameters!$A$32:$A$37,0)),0),0)</f>
        <v>0</v>
      </c>
      <c r="T85" s="4"/>
      <c r="U85" s="4"/>
      <c r="V85" s="4"/>
      <c r="W85" s="4"/>
      <c r="X85" s="4"/>
      <c r="Y85" s="4"/>
      <c r="Z85" s="4"/>
      <c r="AA85" s="4"/>
      <c r="AB85" s="4"/>
    </row>
    <row r="86" ht="24.0" customHeight="1">
      <c r="A86" s="23" t="s">
        <v>158</v>
      </c>
      <c r="B86" s="23" t="s">
        <v>865</v>
      </c>
      <c r="C86" s="23" t="s">
        <v>866</v>
      </c>
      <c r="D86" s="23" t="s">
        <v>101</v>
      </c>
      <c r="E86" s="23" t="s">
        <v>867</v>
      </c>
      <c r="F86" s="23" t="s">
        <v>868</v>
      </c>
      <c r="G86" s="23" t="s">
        <v>859</v>
      </c>
      <c r="H86" s="23" t="s">
        <v>344</v>
      </c>
      <c r="I86" s="23" t="s">
        <v>254</v>
      </c>
      <c r="J86" s="23" t="s">
        <v>869</v>
      </c>
      <c r="K86" s="23" t="s">
        <v>168</v>
      </c>
      <c r="L86" s="23" t="s">
        <v>870</v>
      </c>
      <c r="M86" s="23" t="s">
        <v>107</v>
      </c>
      <c r="N86" s="35">
        <f t="array" ref="N86">IF(M86="","",IFERROR(INDEX(Parameters!$B$9:$B$11,MATCH(M86,Parameters!$A$9:$A$11,0)),"?"))</f>
        <v>16</v>
      </c>
      <c r="O86" s="23" t="s">
        <v>116</v>
      </c>
      <c r="P86" s="23" t="s">
        <v>116</v>
      </c>
      <c r="Q86" s="38">
        <f t="shared" si="1"/>
        <v>1</v>
      </c>
      <c r="R86" s="38">
        <f t="shared" si="2"/>
        <v>44</v>
      </c>
      <c r="S86" s="35">
        <f t="array" ref="S86">IF(Q86=1,IFERROR(INDEX(Parameters!$B$32:$B$37,MATCH(I86,Parameters!$A$32:$A$37,0)),0),0)</f>
        <v>0</v>
      </c>
      <c r="T86" s="4"/>
      <c r="U86" s="4"/>
      <c r="V86" s="4"/>
      <c r="W86" s="4"/>
      <c r="X86" s="4"/>
      <c r="Y86" s="4"/>
      <c r="Z86" s="4"/>
      <c r="AA86" s="4"/>
      <c r="AB86" s="4"/>
    </row>
    <row r="87" ht="24.0" customHeight="1">
      <c r="A87" s="23" t="s">
        <v>158</v>
      </c>
      <c r="B87" s="23" t="s">
        <v>871</v>
      </c>
      <c r="C87" s="23" t="s">
        <v>872</v>
      </c>
      <c r="D87" s="23" t="s">
        <v>101</v>
      </c>
      <c r="E87" s="23" t="s">
        <v>873</v>
      </c>
      <c r="F87" s="23" t="s">
        <v>874</v>
      </c>
      <c r="G87" s="23" t="s">
        <v>865</v>
      </c>
      <c r="H87" s="23" t="s">
        <v>344</v>
      </c>
      <c r="I87" s="23" t="s">
        <v>254</v>
      </c>
      <c r="J87" s="23" t="s">
        <v>875</v>
      </c>
      <c r="K87" s="23" t="s">
        <v>168</v>
      </c>
      <c r="L87" s="23" t="s">
        <v>876</v>
      </c>
      <c r="M87" s="23" t="s">
        <v>96</v>
      </c>
      <c r="N87" s="35">
        <f t="array" ref="N87">IF(M87="","",IFERROR(INDEX(Parameters!$B$9:$B$11,MATCH(M87,Parameters!$A$9:$A$11,0)),"?"))</f>
        <v>8</v>
      </c>
      <c r="O87" s="23" t="s">
        <v>116</v>
      </c>
      <c r="P87" s="23" t="s">
        <v>116</v>
      </c>
      <c r="Q87" s="38">
        <f t="shared" si="1"/>
        <v>1</v>
      </c>
      <c r="R87" s="38">
        <f t="shared" si="2"/>
        <v>45</v>
      </c>
      <c r="S87" s="35">
        <f t="array" ref="S87">IF(Q87=1,IFERROR(INDEX(Parameters!$B$32:$B$37,MATCH(I87,Parameters!$A$32:$A$37,0)),0),0)</f>
        <v>0</v>
      </c>
      <c r="T87" s="4"/>
      <c r="U87" s="4"/>
      <c r="V87" s="4"/>
      <c r="W87" s="4"/>
      <c r="X87" s="4"/>
      <c r="Y87" s="4"/>
      <c r="Z87" s="4"/>
      <c r="AA87" s="4"/>
      <c r="AB87" s="4"/>
    </row>
    <row r="88" ht="14.25" customHeight="1">
      <c r="A88" s="173" t="s">
        <v>877</v>
      </c>
      <c r="B88" s="4"/>
      <c r="C88" s="174" t="str">
        <f>"L2 functions: "&amp;SUM(Q10:Q87)&amp;"   |   L3 work items: "&amp;COUNTA(J10:J87)</f>
        <v>L2 functions: 45   |   L3 work items: 78</v>
      </c>
      <c r="D88" s="174"/>
      <c r="E88" s="4"/>
      <c r="F88" s="4"/>
      <c r="G88" s="4"/>
      <c r="H88" s="4"/>
      <c r="I88" s="4"/>
      <c r="J88" s="4"/>
      <c r="K88" s="4"/>
      <c r="L88" s="4"/>
      <c r="M88" s="4"/>
      <c r="N88" s="173">
        <f>SUM(N10:N87)</f>
        <v>532</v>
      </c>
      <c r="O88" s="4"/>
      <c r="P88" s="4"/>
      <c r="Q88" s="4"/>
      <c r="R88" s="4"/>
      <c r="S88" s="173">
        <f>SUM(S10:S87)</f>
        <v>110</v>
      </c>
      <c r="T88" s="4"/>
      <c r="U88" s="4"/>
      <c r="V88" s="4"/>
      <c r="W88" s="4"/>
      <c r="X88" s="4"/>
      <c r="Y88" s="4"/>
      <c r="Z88" s="4"/>
      <c r="AA88" s="4"/>
      <c r="AB88" s="4"/>
    </row>
    <row r="89" ht="14.25" customHeight="1">
      <c r="A89" s="173" t="s">
        <v>878</v>
      </c>
      <c r="B89" s="4"/>
      <c r="C89" s="174" t="str">
        <f>IF(SUMPRODUCT((J10:J87&lt;&gt;"")*(NOT(ISNUMBER(N10:N87))))=0,"All L3 rows have a numeric Base hours value","WARNING: "&amp;SUMPRODUCT((J10:J87&lt;&gt;"")*(NOT(ISNUMBER(N10:N87))))&amp;" row(s) lost the Base hours formula - copy it down from a neighbouring row")</f>
        <v>All L3 rows have a numeric Base hours value</v>
      </c>
      <c r="D89" s="174"/>
      <c r="E89" s="4"/>
      <c r="F89" s="4"/>
      <c r="G89" s="4"/>
      <c r="H89" s="4"/>
      <c r="I89" s="4"/>
      <c r="J89" s="4"/>
      <c r="K89" s="4"/>
      <c r="L89" s="4"/>
      <c r="M89" s="4"/>
      <c r="N89" s="4"/>
      <c r="O89" s="4"/>
      <c r="P89" s="4"/>
      <c r="Q89" s="4"/>
      <c r="R89" s="4"/>
      <c r="S89" s="4"/>
      <c r="T89" s="4"/>
      <c r="U89" s="4"/>
      <c r="V89" s="4"/>
      <c r="W89" s="4"/>
      <c r="X89" s="4"/>
      <c r="Y89" s="4"/>
      <c r="Z89" s="4"/>
      <c r="AA89" s="4"/>
      <c r="AB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5">
    <mergeCell ref="B3:L3"/>
    <mergeCell ref="B4:L4"/>
    <mergeCell ref="B5:L5"/>
    <mergeCell ref="B6:L6"/>
    <mergeCell ref="B7:L7"/>
  </mergeCells>
  <dataValidations>
    <dataValidation type="list" allowBlank="1" sqref="M10:M87">
      <formula1>"S,M,L"</formula1>
    </dataValidation>
    <dataValidation type="list" allowBlank="1" sqref="H10:H87">
      <formula1>"Must,Should,Could,Won't"</formula1>
    </dataValidation>
    <dataValidation type="list" allowBlank="1" sqref="K10:K87">
      <formula1>"FE,BE,INT"</formula1>
    </dataValidation>
    <dataValidation type="list" allowBlank="1" sqref="I10:I87">
      <formula1>"EI,EO,EQ,NC"</formula1>
    </dataValidation>
    <dataValidation type="list" allowBlank="1" sqref="O10:P87">
      <formula1>"Yes,No"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3.43"/>
    <col customWidth="1" min="2" max="2" width="30.0"/>
    <col customWidth="1" min="3" max="3" width="8.0"/>
    <col customWidth="1" min="4" max="4" width="12.43"/>
    <col customWidth="1" min="5" max="5" width="12.0"/>
    <col customWidth="1" min="6" max="6" width="14.0"/>
    <col customWidth="1" min="7" max="9" width="11.0"/>
    <col customWidth="1" min="10" max="10" width="16.0"/>
    <col customWidth="1" min="11" max="11" width="18.0"/>
    <col customWidth="1" min="12" max="12" width="10.0"/>
    <col customWidth="1" min="13" max="13" width="13.0"/>
    <col customWidth="1" min="14" max="14" width="11.0"/>
    <col customWidth="1" min="15" max="15" width="15.0"/>
  </cols>
  <sheetData>
    <row r="1" ht="14.25" customHeight="1">
      <c r="A1" s="2" t="s">
        <v>402</v>
      </c>
      <c r="B1" s="3"/>
      <c r="C1" s="3"/>
      <c r="D1" s="3"/>
      <c r="E1" s="3"/>
      <c r="F1" s="3"/>
      <c r="G1" s="3"/>
      <c r="H1" s="3"/>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ht="24.0" customHeight="1">
      <c r="A3" s="8" t="s">
        <v>4</v>
      </c>
      <c r="B3" s="9" t="s">
        <v>409</v>
      </c>
      <c r="K3" s="3"/>
      <c r="L3" s="3"/>
      <c r="M3" s="3"/>
      <c r="N3" s="3"/>
      <c r="O3" s="3"/>
      <c r="P3" s="3"/>
      <c r="Q3" s="3"/>
      <c r="R3" s="3"/>
      <c r="S3" s="3"/>
      <c r="T3" s="3"/>
      <c r="U3" s="3"/>
      <c r="V3" s="3"/>
      <c r="W3" s="3"/>
      <c r="X3" s="3"/>
      <c r="Y3" s="3"/>
      <c r="Z3" s="3"/>
    </row>
    <row r="4" ht="30.0" customHeight="1">
      <c r="A4" s="8" t="s">
        <v>9</v>
      </c>
      <c r="B4" s="9" t="s">
        <v>411</v>
      </c>
      <c r="K4" s="3"/>
      <c r="L4" s="3"/>
      <c r="M4" s="3"/>
      <c r="N4" s="3"/>
      <c r="O4" s="3"/>
      <c r="P4" s="3"/>
      <c r="Q4" s="3"/>
      <c r="R4" s="3"/>
      <c r="S4" s="3"/>
      <c r="T4" s="3"/>
      <c r="U4" s="3"/>
      <c r="V4" s="3"/>
      <c r="W4" s="3"/>
      <c r="X4" s="3"/>
      <c r="Y4" s="3"/>
      <c r="Z4" s="3"/>
    </row>
    <row r="5" ht="57.75" customHeight="1">
      <c r="A5" s="8" t="s">
        <v>11</v>
      </c>
      <c r="B5" s="9" t="s">
        <v>412</v>
      </c>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4.25" customHeight="1">
      <c r="A7" s="11" t="s">
        <v>413</v>
      </c>
      <c r="B7" s="12"/>
      <c r="C7" s="12"/>
      <c r="D7" s="12"/>
      <c r="E7" s="12"/>
      <c r="F7" s="12"/>
      <c r="G7" s="12"/>
      <c r="H7" s="12"/>
      <c r="I7" s="12"/>
      <c r="J7" s="12"/>
      <c r="K7" s="12"/>
      <c r="L7" s="12"/>
      <c r="M7" s="3"/>
      <c r="N7" s="3"/>
      <c r="O7" s="3"/>
      <c r="P7" s="3"/>
      <c r="Q7" s="3"/>
      <c r="R7" s="3"/>
      <c r="S7" s="3"/>
      <c r="T7" s="3"/>
      <c r="U7" s="3"/>
      <c r="V7" s="3"/>
      <c r="W7" s="3"/>
      <c r="X7" s="3"/>
      <c r="Y7" s="3"/>
      <c r="Z7" s="3"/>
    </row>
    <row r="8" ht="31.5" customHeight="1">
      <c r="A8" s="13" t="s">
        <v>55</v>
      </c>
      <c r="B8" s="13" t="s">
        <v>414</v>
      </c>
      <c r="C8" s="13" t="s">
        <v>415</v>
      </c>
      <c r="D8" s="13" t="s">
        <v>416</v>
      </c>
      <c r="E8" s="13" t="s">
        <v>417</v>
      </c>
      <c r="F8" s="13" t="s">
        <v>418</v>
      </c>
      <c r="G8" s="13" t="s">
        <v>344</v>
      </c>
      <c r="H8" s="13" t="s">
        <v>389</v>
      </c>
      <c r="I8" s="13" t="s">
        <v>419</v>
      </c>
      <c r="J8" s="13" t="s">
        <v>420</v>
      </c>
      <c r="K8" s="13" t="s">
        <v>421</v>
      </c>
      <c r="L8" s="13" t="s">
        <v>423</v>
      </c>
      <c r="M8" s="13" t="s">
        <v>425</v>
      </c>
      <c r="N8" s="13" t="s">
        <v>426</v>
      </c>
      <c r="O8" s="13" t="s">
        <v>428</v>
      </c>
      <c r="P8" s="3"/>
      <c r="Q8" s="3"/>
      <c r="R8" s="3"/>
      <c r="S8" s="3"/>
      <c r="T8" s="3"/>
      <c r="U8" s="3"/>
      <c r="V8" s="3"/>
      <c r="W8" s="3"/>
      <c r="X8" s="3"/>
      <c r="Y8" s="3"/>
      <c r="Z8" s="3"/>
    </row>
    <row r="9" ht="14.25" customHeight="1">
      <c r="A9" s="45" t="str">
        <f>IF(W0_Scope!A29="","",W0_Scope!A29)</f>
        <v>F-01</v>
      </c>
      <c r="B9" s="45" t="str">
        <f>IF($A9="","",W0_Scope!B29)</f>
        <v>Book Location &amp; Library Map</v>
      </c>
      <c r="C9" s="45">
        <f>IF($A9="","",SUMIF(W1_FunctionList!$A$10:$A$87,$A9,W1_FunctionList!$Q$10:$Q$87))</f>
        <v>5</v>
      </c>
      <c r="D9" s="45" t="str">
        <f t="shared" ref="D9:D20" si="1">IF($A9="","",COUNTIF(W2_Costing!$B$9:$B$128,$A9))</f>
        <v>#REF!</v>
      </c>
      <c r="E9" s="51" t="str">
        <f t="shared" ref="E9:E20" si="2">IF($A9="","",SUMIF(W2_Costing!$B$9:$B$128,$A9,W2_Costing!$E$9:$E$128))</f>
        <v>#N/A</v>
      </c>
      <c r="F9" s="51" t="str">
        <f t="shared" ref="F9:F20" si="3">IF($A9="","",SUMIFS(W2_Costing!$J$9:$J$128,W2_Costing!$B$9:$B$128,$A9,W2_Costing!$N$9:$N$128,"Must"))</f>
        <v>#N/A</v>
      </c>
      <c r="G9" s="51" t="str">
        <f t="shared" ref="G9:G20" si="4">IF($A9="","",SUMIFS(W2_Costing!$J$9:$J$128,W2_Costing!$B$9:$B$128,$A9,W2_Costing!$N$9:$N$128,"Should"))</f>
        <v>#N/A</v>
      </c>
      <c r="H9" s="51" t="str">
        <f t="shared" ref="H9:H20" si="5">IF($A9="","",SUMIFS(W2_Costing!$J$9:$J$128,W2_Costing!$B$9:$B$128,$A9,W2_Costing!$N$9:$N$128,"Could"))</f>
        <v>#N/A</v>
      </c>
      <c r="I9" s="51" t="str">
        <f t="shared" ref="I9:I20" si="6">IF($A9="","",SUMIFS(W2_Costing!$J$9:$J$128,W2_Costing!$B$9:$B$128,$A9,W2_Costing!$N$9:$N$128,"Won't"))</f>
        <v>#N/A</v>
      </c>
      <c r="J9" s="52" t="str">
        <f t="shared" ref="J9:J20" si="7">IF($A9="","",F9+G9+H9)</f>
        <v>#N/A</v>
      </c>
      <c r="K9" s="53" t="str">
        <f t="shared" ref="K9:K20" si="8">IF($A9="","",SUMIFS(W2_Costing!$M$9:$M$128,W2_Costing!$B$9:$B$128,$A9)-SUMIFS(W2_Costing!$M$9:$M$128,W2_Costing!$B$9:$B$128,$A9,W2_Costing!$N$9:$N$128,"Won't"))</f>
        <v>#N/A</v>
      </c>
      <c r="L9" s="54" t="str">
        <f t="shared" ref="L9:L20" si="9">IF($A9="","",IF(J9=0,0,F9/J9))</f>
        <v>#N/A</v>
      </c>
      <c r="M9" s="51">
        <f>IF($A9="","",SUMIF(W1_FunctionList!$A$10:$A$87,$A9,W1_FunctionList!$N$10:$N$87))</f>
        <v>64</v>
      </c>
      <c r="N9" s="51">
        <f>IF($A9="","",SUMIF(W1_FunctionList!$A$10:$A$87,$A9,W1_FunctionList!$S$10:$S$87))</f>
        <v>12</v>
      </c>
      <c r="O9" s="52">
        <f t="shared" ref="O9:O20" si="10">IF(OR($A9="",N9=0),"",M9/N9)</f>
        <v>5.333333333</v>
      </c>
      <c r="P9" s="3"/>
      <c r="Q9" s="3"/>
      <c r="R9" s="3"/>
      <c r="S9" s="3"/>
      <c r="T9" s="3"/>
      <c r="U9" s="3"/>
      <c r="V9" s="3"/>
      <c r="W9" s="3"/>
      <c r="X9" s="3"/>
      <c r="Y9" s="3"/>
      <c r="Z9" s="3"/>
    </row>
    <row r="10" ht="14.25" customHeight="1">
      <c r="A10" s="45" t="str">
        <f>IF(W0_Scope!A30="","",W0_Scope!A30)</f>
        <v>F-02</v>
      </c>
      <c r="B10" s="45" t="str">
        <f>IF($A10="","",W0_Scope!B30)</f>
        <v>Reviews &amp; QR</v>
      </c>
      <c r="C10" s="45">
        <f>IF($A10="","",SUMIF(W1_FunctionList!$A$10:$A$87,$A10,W1_FunctionList!$Q$10:$Q$87))</f>
        <v>10</v>
      </c>
      <c r="D10" s="45" t="str">
        <f t="shared" si="1"/>
        <v>#REF!</v>
      </c>
      <c r="E10" s="51" t="str">
        <f t="shared" si="2"/>
        <v>#N/A</v>
      </c>
      <c r="F10" s="51" t="str">
        <f t="shared" si="3"/>
        <v>#N/A</v>
      </c>
      <c r="G10" s="51" t="str">
        <f t="shared" si="4"/>
        <v>#N/A</v>
      </c>
      <c r="H10" s="51" t="str">
        <f t="shared" si="5"/>
        <v>#N/A</v>
      </c>
      <c r="I10" s="51" t="str">
        <f t="shared" si="6"/>
        <v>#N/A</v>
      </c>
      <c r="J10" s="52" t="str">
        <f t="shared" si="7"/>
        <v>#N/A</v>
      </c>
      <c r="K10" s="53" t="str">
        <f t="shared" si="8"/>
        <v>#N/A</v>
      </c>
      <c r="L10" s="54" t="str">
        <f t="shared" si="9"/>
        <v>#N/A</v>
      </c>
      <c r="M10" s="51">
        <f>IF($A10="","",SUMIF(W1_FunctionList!$A$10:$A$87,$A10,W1_FunctionList!$N$10:$N$87))</f>
        <v>96</v>
      </c>
      <c r="N10" s="51">
        <f>IF($A10="","",SUMIF(W1_FunctionList!$A$10:$A$87,$A10,W1_FunctionList!$S$10:$S$87))</f>
        <v>32</v>
      </c>
      <c r="O10" s="52">
        <f t="shared" si="10"/>
        <v>3</v>
      </c>
      <c r="P10" s="3"/>
      <c r="Q10" s="3"/>
      <c r="R10" s="3"/>
      <c r="S10" s="3"/>
      <c r="T10" s="3"/>
      <c r="U10" s="3"/>
      <c r="V10" s="3"/>
      <c r="W10" s="3"/>
      <c r="X10" s="3"/>
      <c r="Y10" s="3"/>
      <c r="Z10" s="3"/>
    </row>
    <row r="11" ht="14.25" customHeight="1">
      <c r="A11" s="45" t="str">
        <f>IF(W0_Scope!A31="","",W0_Scope!A31)</f>
        <v>F-03</v>
      </c>
      <c r="B11" s="45" t="str">
        <f>IF($A11="","",W0_Scope!B31)</f>
        <v>Discovery, Reading History &amp; Recommendation</v>
      </c>
      <c r="C11" s="45">
        <f>IF($A11="","",SUMIF(W1_FunctionList!$A$10:$A$87,$A11,W1_FunctionList!$Q$10:$Q$87))</f>
        <v>15</v>
      </c>
      <c r="D11" s="45" t="str">
        <f t="shared" si="1"/>
        <v>#REF!</v>
      </c>
      <c r="E11" s="51" t="str">
        <f t="shared" si="2"/>
        <v>#N/A</v>
      </c>
      <c r="F11" s="51" t="str">
        <f t="shared" si="3"/>
        <v>#N/A</v>
      </c>
      <c r="G11" s="51" t="str">
        <f t="shared" si="4"/>
        <v>#N/A</v>
      </c>
      <c r="H11" s="51" t="str">
        <f t="shared" si="5"/>
        <v>#N/A</v>
      </c>
      <c r="I11" s="51" t="str">
        <f t="shared" si="6"/>
        <v>#N/A</v>
      </c>
      <c r="J11" s="52" t="str">
        <f t="shared" si="7"/>
        <v>#N/A</v>
      </c>
      <c r="K11" s="53" t="str">
        <f t="shared" si="8"/>
        <v>#N/A</v>
      </c>
      <c r="L11" s="54" t="str">
        <f t="shared" si="9"/>
        <v>#N/A</v>
      </c>
      <c r="M11" s="51">
        <f>IF($A11="","",SUMIF(W1_FunctionList!$A$10:$A$87,$A11,W1_FunctionList!$N$10:$N$87))</f>
        <v>176</v>
      </c>
      <c r="N11" s="51">
        <f>IF($A11="","",SUMIF(W1_FunctionList!$A$10:$A$87,$A11,W1_FunctionList!$S$10:$S$87))</f>
        <v>46</v>
      </c>
      <c r="O11" s="52">
        <f t="shared" si="10"/>
        <v>3.826086957</v>
      </c>
      <c r="P11" s="3"/>
      <c r="Q11" s="3"/>
      <c r="R11" s="3"/>
      <c r="S11" s="3"/>
      <c r="T11" s="3"/>
      <c r="U11" s="3"/>
      <c r="V11" s="3"/>
      <c r="W11" s="3"/>
      <c r="X11" s="3"/>
      <c r="Y11" s="3"/>
      <c r="Z11" s="3"/>
    </row>
    <row r="12" ht="14.25" customHeight="1">
      <c r="A12" s="45" t="str">
        <f>IF(W0_Scope!A32="","",W0_Scope!A32)</f>
        <v>F-04</v>
      </c>
      <c r="B12" s="45" t="str">
        <f>IF($A12="","",W0_Scope!B32)</f>
        <v>Platform, Access &amp; Operations</v>
      </c>
      <c r="C12" s="45">
        <f>IF($A12="","",SUMIF(W1_FunctionList!$A$10:$A$87,$A12,W1_FunctionList!$Q$10:$Q$87))</f>
        <v>15</v>
      </c>
      <c r="D12" s="45" t="str">
        <f t="shared" si="1"/>
        <v>#REF!</v>
      </c>
      <c r="E12" s="51" t="str">
        <f t="shared" si="2"/>
        <v>#N/A</v>
      </c>
      <c r="F12" s="51" t="str">
        <f t="shared" si="3"/>
        <v>#N/A</v>
      </c>
      <c r="G12" s="51" t="str">
        <f t="shared" si="4"/>
        <v>#N/A</v>
      </c>
      <c r="H12" s="51" t="str">
        <f t="shared" si="5"/>
        <v>#N/A</v>
      </c>
      <c r="I12" s="51" t="str">
        <f t="shared" si="6"/>
        <v>#N/A</v>
      </c>
      <c r="J12" s="52" t="str">
        <f t="shared" si="7"/>
        <v>#N/A</v>
      </c>
      <c r="K12" s="53" t="str">
        <f t="shared" si="8"/>
        <v>#N/A</v>
      </c>
      <c r="L12" s="54" t="str">
        <f t="shared" si="9"/>
        <v>#N/A</v>
      </c>
      <c r="M12" s="51">
        <f>IF($A12="","",SUMIF(W1_FunctionList!$A$10:$A$87,$A12,W1_FunctionList!$N$10:$N$87))</f>
        <v>196</v>
      </c>
      <c r="N12" s="51">
        <f>IF($A12="","",SUMIF(W1_FunctionList!$A$10:$A$87,$A12,W1_FunctionList!$S$10:$S$87))</f>
        <v>20</v>
      </c>
      <c r="O12" s="52">
        <f t="shared" si="10"/>
        <v>9.8</v>
      </c>
      <c r="P12" s="3"/>
      <c r="Q12" s="3"/>
      <c r="R12" s="3"/>
      <c r="S12" s="3"/>
      <c r="T12" s="3"/>
      <c r="U12" s="3"/>
      <c r="V12" s="3"/>
      <c r="W12" s="3"/>
      <c r="X12" s="3"/>
      <c r="Y12" s="3"/>
      <c r="Z12" s="3"/>
    </row>
    <row r="13" ht="14.25" customHeight="1">
      <c r="A13" s="45" t="str">
        <f>IF(W0_Scope!A33="","",W0_Scope!A33)</f>
        <v/>
      </c>
      <c r="B13" s="45" t="str">
        <f>IF($A13="","",W0_Scope!B33)</f>
        <v/>
      </c>
      <c r="C13" s="45" t="str">
        <f>IF($A13="","",SUMIF(W1_FunctionList!$A$10:$A$87,$A13,W1_FunctionList!$Q$10:$Q$87))</f>
        <v/>
      </c>
      <c r="D13" s="45" t="str">
        <f t="shared" si="1"/>
        <v/>
      </c>
      <c r="E13" s="51" t="str">
        <f t="shared" si="2"/>
        <v/>
      </c>
      <c r="F13" s="51" t="str">
        <f t="shared" si="3"/>
        <v/>
      </c>
      <c r="G13" s="51" t="str">
        <f t="shared" si="4"/>
        <v/>
      </c>
      <c r="H13" s="51" t="str">
        <f t="shared" si="5"/>
        <v/>
      </c>
      <c r="I13" s="51" t="str">
        <f t="shared" si="6"/>
        <v/>
      </c>
      <c r="J13" s="52" t="str">
        <f t="shared" si="7"/>
        <v/>
      </c>
      <c r="K13" s="53" t="str">
        <f t="shared" si="8"/>
        <v/>
      </c>
      <c r="L13" s="54" t="str">
        <f t="shared" si="9"/>
        <v/>
      </c>
      <c r="M13" s="51" t="str">
        <f>IF($A13="","",SUMIF(W1_FunctionList!$A$10:$A$87,$A13,W1_FunctionList!$N$10:$N$87))</f>
        <v/>
      </c>
      <c r="N13" s="51" t="str">
        <f>IF($A13="","",SUMIF(W1_FunctionList!$A$10:$A$87,$A13,W1_FunctionList!$S$10:$S$87))</f>
        <v/>
      </c>
      <c r="O13" s="52" t="str">
        <f t="shared" si="10"/>
        <v/>
      </c>
      <c r="P13" s="3"/>
      <c r="Q13" s="3"/>
      <c r="R13" s="3"/>
      <c r="S13" s="3"/>
      <c r="T13" s="3"/>
      <c r="U13" s="3"/>
      <c r="V13" s="3"/>
      <c r="W13" s="3"/>
      <c r="X13" s="3"/>
      <c r="Y13" s="3"/>
      <c r="Z13" s="3"/>
    </row>
    <row r="14" ht="14.25" customHeight="1">
      <c r="A14" s="45" t="str">
        <f>IF(W0_Scope!A34="","",W0_Scope!A34)</f>
        <v/>
      </c>
      <c r="B14" s="45" t="str">
        <f>IF($A14="","",W0_Scope!B34)</f>
        <v/>
      </c>
      <c r="C14" s="45" t="str">
        <f>IF($A14="","",SUMIF(W1_FunctionList!$A$10:$A$87,$A14,W1_FunctionList!$Q$10:$Q$87))</f>
        <v/>
      </c>
      <c r="D14" s="45" t="str">
        <f t="shared" si="1"/>
        <v/>
      </c>
      <c r="E14" s="51" t="str">
        <f t="shared" si="2"/>
        <v/>
      </c>
      <c r="F14" s="51" t="str">
        <f t="shared" si="3"/>
        <v/>
      </c>
      <c r="G14" s="51" t="str">
        <f t="shared" si="4"/>
        <v/>
      </c>
      <c r="H14" s="51" t="str">
        <f t="shared" si="5"/>
        <v/>
      </c>
      <c r="I14" s="51" t="str">
        <f t="shared" si="6"/>
        <v/>
      </c>
      <c r="J14" s="52" t="str">
        <f t="shared" si="7"/>
        <v/>
      </c>
      <c r="K14" s="53" t="str">
        <f t="shared" si="8"/>
        <v/>
      </c>
      <c r="L14" s="54" t="str">
        <f t="shared" si="9"/>
        <v/>
      </c>
      <c r="M14" s="51" t="str">
        <f>IF($A14="","",SUMIF(W1_FunctionList!$A$10:$A$87,$A14,W1_FunctionList!$N$10:$N$87))</f>
        <v/>
      </c>
      <c r="N14" s="51" t="str">
        <f>IF($A14="","",SUMIF(W1_FunctionList!$A$10:$A$87,$A14,W1_FunctionList!$S$10:$S$87))</f>
        <v/>
      </c>
      <c r="O14" s="52" t="str">
        <f t="shared" si="10"/>
        <v/>
      </c>
      <c r="P14" s="3"/>
      <c r="Q14" s="3"/>
      <c r="R14" s="3"/>
      <c r="S14" s="3"/>
      <c r="T14" s="3"/>
      <c r="U14" s="3"/>
      <c r="V14" s="3"/>
      <c r="W14" s="3"/>
      <c r="X14" s="3"/>
      <c r="Y14" s="3"/>
      <c r="Z14" s="3"/>
    </row>
    <row r="15" ht="14.25" customHeight="1">
      <c r="A15" s="45" t="str">
        <f>IF(W0_Scope!A35="","",W0_Scope!A35)</f>
        <v/>
      </c>
      <c r="B15" s="45" t="str">
        <f>IF($A15="","",W0_Scope!B35)</f>
        <v/>
      </c>
      <c r="C15" s="45" t="str">
        <f>IF($A15="","",SUMIF(W1_FunctionList!$A$10:$A$87,$A15,W1_FunctionList!$Q$10:$Q$87))</f>
        <v/>
      </c>
      <c r="D15" s="45" t="str">
        <f t="shared" si="1"/>
        <v/>
      </c>
      <c r="E15" s="51" t="str">
        <f t="shared" si="2"/>
        <v/>
      </c>
      <c r="F15" s="51" t="str">
        <f t="shared" si="3"/>
        <v/>
      </c>
      <c r="G15" s="51" t="str">
        <f t="shared" si="4"/>
        <v/>
      </c>
      <c r="H15" s="51" t="str">
        <f t="shared" si="5"/>
        <v/>
      </c>
      <c r="I15" s="51" t="str">
        <f t="shared" si="6"/>
        <v/>
      </c>
      <c r="J15" s="52" t="str">
        <f t="shared" si="7"/>
        <v/>
      </c>
      <c r="K15" s="53" t="str">
        <f t="shared" si="8"/>
        <v/>
      </c>
      <c r="L15" s="54" t="str">
        <f t="shared" si="9"/>
        <v/>
      </c>
      <c r="M15" s="51" t="str">
        <f>IF($A15="","",SUMIF(W1_FunctionList!$A$10:$A$87,$A15,W1_FunctionList!$N$10:$N$87))</f>
        <v/>
      </c>
      <c r="N15" s="51" t="str">
        <f>IF($A15="","",SUMIF(W1_FunctionList!$A$10:$A$87,$A15,W1_FunctionList!$S$10:$S$87))</f>
        <v/>
      </c>
      <c r="O15" s="52" t="str">
        <f t="shared" si="10"/>
        <v/>
      </c>
      <c r="P15" s="3"/>
      <c r="Q15" s="3"/>
      <c r="R15" s="3"/>
      <c r="S15" s="3"/>
      <c r="T15" s="3"/>
      <c r="U15" s="3"/>
      <c r="V15" s="3"/>
      <c r="W15" s="3"/>
      <c r="X15" s="3"/>
      <c r="Y15" s="3"/>
      <c r="Z15" s="3"/>
    </row>
    <row r="16" ht="14.25" customHeight="1">
      <c r="A16" s="45" t="str">
        <f>IF(W0_Scope!A36="","",W0_Scope!A36)</f>
        <v/>
      </c>
      <c r="B16" s="45" t="str">
        <f>IF($A16="","",W0_Scope!B36)</f>
        <v/>
      </c>
      <c r="C16" s="45" t="str">
        <f>IF($A16="","",SUMIF(W1_FunctionList!$A$10:$A$87,$A16,W1_FunctionList!$Q$10:$Q$87))</f>
        <v/>
      </c>
      <c r="D16" s="45" t="str">
        <f t="shared" si="1"/>
        <v/>
      </c>
      <c r="E16" s="51" t="str">
        <f t="shared" si="2"/>
        <v/>
      </c>
      <c r="F16" s="51" t="str">
        <f t="shared" si="3"/>
        <v/>
      </c>
      <c r="G16" s="51" t="str">
        <f t="shared" si="4"/>
        <v/>
      </c>
      <c r="H16" s="51" t="str">
        <f t="shared" si="5"/>
        <v/>
      </c>
      <c r="I16" s="51" t="str">
        <f t="shared" si="6"/>
        <v/>
      </c>
      <c r="J16" s="52" t="str">
        <f t="shared" si="7"/>
        <v/>
      </c>
      <c r="K16" s="53" t="str">
        <f t="shared" si="8"/>
        <v/>
      </c>
      <c r="L16" s="54" t="str">
        <f t="shared" si="9"/>
        <v/>
      </c>
      <c r="M16" s="51" t="str">
        <f>IF($A16="","",SUMIF(W1_FunctionList!$A$10:$A$87,$A16,W1_FunctionList!$N$10:$N$87))</f>
        <v/>
      </c>
      <c r="N16" s="51" t="str">
        <f>IF($A16="","",SUMIF(W1_FunctionList!$A$10:$A$87,$A16,W1_FunctionList!$S$10:$S$87))</f>
        <v/>
      </c>
      <c r="O16" s="52" t="str">
        <f t="shared" si="10"/>
        <v/>
      </c>
      <c r="P16" s="3"/>
      <c r="Q16" s="3"/>
      <c r="R16" s="3"/>
      <c r="S16" s="3"/>
      <c r="T16" s="3"/>
      <c r="U16" s="3"/>
      <c r="V16" s="3"/>
      <c r="W16" s="3"/>
      <c r="X16" s="3"/>
      <c r="Y16" s="3"/>
      <c r="Z16" s="3"/>
    </row>
    <row r="17" ht="14.25" customHeight="1">
      <c r="A17" s="45" t="str">
        <f>IF(W0_Scope!A37="","",W0_Scope!A37)</f>
        <v/>
      </c>
      <c r="B17" s="45" t="str">
        <f>IF($A17="","",W0_Scope!B37)</f>
        <v/>
      </c>
      <c r="C17" s="45" t="str">
        <f>IF($A17="","",SUMIF(W1_FunctionList!$A$10:$A$87,$A17,W1_FunctionList!$Q$10:$Q$87))</f>
        <v/>
      </c>
      <c r="D17" s="45" t="str">
        <f t="shared" si="1"/>
        <v/>
      </c>
      <c r="E17" s="51" t="str">
        <f t="shared" si="2"/>
        <v/>
      </c>
      <c r="F17" s="51" t="str">
        <f t="shared" si="3"/>
        <v/>
      </c>
      <c r="G17" s="51" t="str">
        <f t="shared" si="4"/>
        <v/>
      </c>
      <c r="H17" s="51" t="str">
        <f t="shared" si="5"/>
        <v/>
      </c>
      <c r="I17" s="51" t="str">
        <f t="shared" si="6"/>
        <v/>
      </c>
      <c r="J17" s="52" t="str">
        <f t="shared" si="7"/>
        <v/>
      </c>
      <c r="K17" s="53" t="str">
        <f t="shared" si="8"/>
        <v/>
      </c>
      <c r="L17" s="54" t="str">
        <f t="shared" si="9"/>
        <v/>
      </c>
      <c r="M17" s="51" t="str">
        <f>IF($A17="","",SUMIF(W1_FunctionList!$A$10:$A$87,$A17,W1_FunctionList!$N$10:$N$87))</f>
        <v/>
      </c>
      <c r="N17" s="51" t="str">
        <f>IF($A17="","",SUMIF(W1_FunctionList!$A$10:$A$87,$A17,W1_FunctionList!$S$10:$S$87))</f>
        <v/>
      </c>
      <c r="O17" s="52" t="str">
        <f t="shared" si="10"/>
        <v/>
      </c>
      <c r="P17" s="3"/>
      <c r="Q17" s="3"/>
      <c r="R17" s="3"/>
      <c r="S17" s="3"/>
      <c r="T17" s="3"/>
      <c r="U17" s="3"/>
      <c r="V17" s="3"/>
      <c r="W17" s="3"/>
      <c r="X17" s="3"/>
      <c r="Y17" s="3"/>
      <c r="Z17" s="3"/>
    </row>
    <row r="18" ht="14.25" customHeight="1">
      <c r="A18" s="45" t="str">
        <f>IF(W0_Scope!A38="","",W0_Scope!A38)</f>
        <v/>
      </c>
      <c r="B18" s="45" t="str">
        <f>IF($A18="","",W0_Scope!B38)</f>
        <v/>
      </c>
      <c r="C18" s="45" t="str">
        <f>IF($A18="","",SUMIF(W1_FunctionList!$A$10:$A$87,$A18,W1_FunctionList!$Q$10:$Q$87))</f>
        <v/>
      </c>
      <c r="D18" s="45" t="str">
        <f t="shared" si="1"/>
        <v/>
      </c>
      <c r="E18" s="51" t="str">
        <f t="shared" si="2"/>
        <v/>
      </c>
      <c r="F18" s="51" t="str">
        <f t="shared" si="3"/>
        <v/>
      </c>
      <c r="G18" s="51" t="str">
        <f t="shared" si="4"/>
        <v/>
      </c>
      <c r="H18" s="51" t="str">
        <f t="shared" si="5"/>
        <v/>
      </c>
      <c r="I18" s="51" t="str">
        <f t="shared" si="6"/>
        <v/>
      </c>
      <c r="J18" s="52" t="str">
        <f t="shared" si="7"/>
        <v/>
      </c>
      <c r="K18" s="53" t="str">
        <f t="shared" si="8"/>
        <v/>
      </c>
      <c r="L18" s="54" t="str">
        <f t="shared" si="9"/>
        <v/>
      </c>
      <c r="M18" s="51" t="str">
        <f>IF($A18="","",SUMIF(W1_FunctionList!$A$10:$A$87,$A18,W1_FunctionList!$N$10:$N$87))</f>
        <v/>
      </c>
      <c r="N18" s="51" t="str">
        <f>IF($A18="","",SUMIF(W1_FunctionList!$A$10:$A$87,$A18,W1_FunctionList!$S$10:$S$87))</f>
        <v/>
      </c>
      <c r="O18" s="52" t="str">
        <f t="shared" si="10"/>
        <v/>
      </c>
      <c r="P18" s="3"/>
      <c r="Q18" s="3"/>
      <c r="R18" s="3"/>
      <c r="S18" s="3"/>
      <c r="T18" s="3"/>
      <c r="U18" s="3"/>
      <c r="V18" s="3"/>
      <c r="W18" s="3"/>
      <c r="X18" s="3"/>
      <c r="Y18" s="3"/>
      <c r="Z18" s="3"/>
    </row>
    <row r="19" ht="14.25" customHeight="1">
      <c r="A19" s="45" t="str">
        <f>IF(W0_Scope!A39="","",W0_Scope!A39)</f>
        <v/>
      </c>
      <c r="B19" s="45" t="str">
        <f>IF($A19="","",W0_Scope!B39)</f>
        <v/>
      </c>
      <c r="C19" s="45" t="str">
        <f>IF($A19="","",SUMIF(W1_FunctionList!$A$10:$A$87,$A19,W1_FunctionList!$Q$10:$Q$87))</f>
        <v/>
      </c>
      <c r="D19" s="45" t="str">
        <f t="shared" si="1"/>
        <v/>
      </c>
      <c r="E19" s="51" t="str">
        <f t="shared" si="2"/>
        <v/>
      </c>
      <c r="F19" s="51" t="str">
        <f t="shared" si="3"/>
        <v/>
      </c>
      <c r="G19" s="51" t="str">
        <f t="shared" si="4"/>
        <v/>
      </c>
      <c r="H19" s="51" t="str">
        <f t="shared" si="5"/>
        <v/>
      </c>
      <c r="I19" s="51" t="str">
        <f t="shared" si="6"/>
        <v/>
      </c>
      <c r="J19" s="52" t="str">
        <f t="shared" si="7"/>
        <v/>
      </c>
      <c r="K19" s="53" t="str">
        <f t="shared" si="8"/>
        <v/>
      </c>
      <c r="L19" s="54" t="str">
        <f t="shared" si="9"/>
        <v/>
      </c>
      <c r="M19" s="51" t="str">
        <f>IF($A19="","",SUMIF(W1_FunctionList!$A$10:$A$87,$A19,W1_FunctionList!$N$10:$N$87))</f>
        <v/>
      </c>
      <c r="N19" s="51" t="str">
        <f>IF($A19="","",SUMIF(W1_FunctionList!$A$10:$A$87,$A19,W1_FunctionList!$S$10:$S$87))</f>
        <v/>
      </c>
      <c r="O19" s="52" t="str">
        <f t="shared" si="10"/>
        <v/>
      </c>
      <c r="P19" s="3"/>
      <c r="Q19" s="3"/>
      <c r="R19" s="3"/>
      <c r="S19" s="3"/>
      <c r="T19" s="3"/>
      <c r="U19" s="3"/>
      <c r="V19" s="3"/>
      <c r="W19" s="3"/>
      <c r="X19" s="3"/>
      <c r="Y19" s="3"/>
      <c r="Z19" s="3"/>
    </row>
    <row r="20" ht="14.25" customHeight="1">
      <c r="A20" s="45" t="str">
        <f>IF(W0_Scope!A40="","",W0_Scope!A40)</f>
        <v/>
      </c>
      <c r="B20" s="45" t="str">
        <f>IF($A20="","",W0_Scope!B40)</f>
        <v/>
      </c>
      <c r="C20" s="45" t="str">
        <f>IF($A20="","",SUMIF(W1_FunctionList!$A$10:$A$87,$A20,W1_FunctionList!$Q$10:$Q$87))</f>
        <v/>
      </c>
      <c r="D20" s="45" t="str">
        <f t="shared" si="1"/>
        <v/>
      </c>
      <c r="E20" s="51" t="str">
        <f t="shared" si="2"/>
        <v/>
      </c>
      <c r="F20" s="51" t="str">
        <f t="shared" si="3"/>
        <v/>
      </c>
      <c r="G20" s="51" t="str">
        <f t="shared" si="4"/>
        <v/>
      </c>
      <c r="H20" s="51" t="str">
        <f t="shared" si="5"/>
        <v/>
      </c>
      <c r="I20" s="51" t="str">
        <f t="shared" si="6"/>
        <v/>
      </c>
      <c r="J20" s="52" t="str">
        <f t="shared" si="7"/>
        <v/>
      </c>
      <c r="K20" s="53" t="str">
        <f t="shared" si="8"/>
        <v/>
      </c>
      <c r="L20" s="54" t="str">
        <f t="shared" si="9"/>
        <v/>
      </c>
      <c r="M20" s="51" t="str">
        <f>IF($A20="","",SUMIF(W1_FunctionList!$A$10:$A$87,$A20,W1_FunctionList!$N$10:$N$87))</f>
        <v/>
      </c>
      <c r="N20" s="51" t="str">
        <f>IF($A20="","",SUMIF(W1_FunctionList!$A$10:$A$87,$A20,W1_FunctionList!$S$10:$S$87))</f>
        <v/>
      </c>
      <c r="O20" s="52" t="str">
        <f t="shared" si="10"/>
        <v/>
      </c>
      <c r="P20" s="3"/>
      <c r="Q20" s="3"/>
      <c r="R20" s="3"/>
      <c r="S20" s="3"/>
      <c r="T20" s="3"/>
      <c r="U20" s="3"/>
      <c r="V20" s="3"/>
      <c r="W20" s="3"/>
      <c r="X20" s="3"/>
      <c r="Y20" s="3"/>
      <c r="Z20" s="3"/>
    </row>
    <row r="21" ht="14.25" customHeight="1">
      <c r="A21" s="73"/>
      <c r="B21" s="74" t="s">
        <v>557</v>
      </c>
      <c r="C21" s="74">
        <f t="shared" ref="C21:K21" si="11">SUM(C9:C20)</f>
        <v>45</v>
      </c>
      <c r="D21" s="74" t="str">
        <f t="shared" si="11"/>
        <v>#REF!</v>
      </c>
      <c r="E21" s="75" t="str">
        <f t="shared" si="11"/>
        <v>#N/A</v>
      </c>
      <c r="F21" s="75" t="str">
        <f t="shared" si="11"/>
        <v>#N/A</v>
      </c>
      <c r="G21" s="75" t="str">
        <f t="shared" si="11"/>
        <v>#N/A</v>
      </c>
      <c r="H21" s="75" t="str">
        <f t="shared" si="11"/>
        <v>#N/A</v>
      </c>
      <c r="I21" s="75" t="str">
        <f t="shared" si="11"/>
        <v>#N/A</v>
      </c>
      <c r="J21" s="75" t="str">
        <f t="shared" si="11"/>
        <v>#N/A</v>
      </c>
      <c r="K21" s="76" t="str">
        <f t="shared" si="11"/>
        <v>#N/A</v>
      </c>
      <c r="L21" s="77" t="str">
        <f>IF(J21=0,0,F21/J21)</f>
        <v>#N/A</v>
      </c>
      <c r="M21" s="75">
        <f t="shared" ref="M21:N21" si="12">SUM(M9:M20)</f>
        <v>532</v>
      </c>
      <c r="N21" s="75">
        <f t="shared" si="12"/>
        <v>110</v>
      </c>
      <c r="O21" s="75">
        <f>IF(N21=0,"",M21/N21)</f>
        <v>4.836363636</v>
      </c>
      <c r="P21" s="3"/>
      <c r="Q21" s="3"/>
      <c r="R21" s="3"/>
      <c r="S21" s="3"/>
      <c r="T21" s="3"/>
      <c r="U21" s="3"/>
      <c r="V21" s="3"/>
      <c r="W21" s="3"/>
      <c r="X21" s="3"/>
      <c r="Y21" s="3"/>
      <c r="Z21" s="3"/>
    </row>
    <row r="22" ht="14.25" customHeight="1">
      <c r="A22" s="21" t="s">
        <v>558</v>
      </c>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11" t="s">
        <v>561</v>
      </c>
      <c r="B24" s="12"/>
      <c r="C24" s="12"/>
      <c r="D24" s="12"/>
      <c r="E24" s="12"/>
      <c r="F24" s="12"/>
      <c r="G24" s="12"/>
      <c r="H24" s="12"/>
      <c r="I24" s="12"/>
      <c r="J24" s="12"/>
      <c r="K24" s="12"/>
      <c r="L24" s="12"/>
      <c r="M24" s="3"/>
      <c r="N24" s="3"/>
      <c r="O24" s="3"/>
      <c r="P24" s="3"/>
      <c r="Q24" s="3"/>
      <c r="R24" s="3"/>
      <c r="S24" s="3"/>
      <c r="T24" s="3"/>
      <c r="U24" s="3"/>
      <c r="V24" s="3"/>
      <c r="W24" s="3"/>
      <c r="X24" s="3"/>
      <c r="Y24" s="3"/>
      <c r="Z24" s="3"/>
    </row>
    <row r="25" ht="31.5" customHeight="1">
      <c r="A25" s="13" t="s">
        <v>484</v>
      </c>
      <c r="B25" s="13" t="s">
        <v>562</v>
      </c>
      <c r="C25" s="13" t="s">
        <v>465</v>
      </c>
      <c r="D25" s="13" t="s">
        <v>466</v>
      </c>
      <c r="E25" s="13" t="s">
        <v>563</v>
      </c>
      <c r="F25" s="13"/>
      <c r="G25" s="13"/>
      <c r="H25" s="13"/>
      <c r="I25" s="13"/>
      <c r="J25" s="13"/>
      <c r="K25" s="13"/>
      <c r="L25" s="13"/>
      <c r="M25" s="3"/>
      <c r="N25" s="3"/>
      <c r="O25" s="3"/>
      <c r="P25" s="3"/>
      <c r="Q25" s="3"/>
      <c r="R25" s="3"/>
      <c r="S25" s="3"/>
      <c r="T25" s="3"/>
      <c r="U25" s="3"/>
      <c r="V25" s="3"/>
      <c r="W25" s="3"/>
      <c r="X25" s="3"/>
      <c r="Y25" s="3"/>
      <c r="Z25" s="3"/>
    </row>
    <row r="26" ht="14.25" customHeight="1">
      <c r="A26" s="46" t="s">
        <v>564</v>
      </c>
      <c r="B26" s="47" t="s">
        <v>565</v>
      </c>
      <c r="C26" s="52" t="str">
        <f>F21</f>
        <v>#N/A</v>
      </c>
      <c r="D26" s="53" t="str">
        <f>SUMIFS(W2_Costing!$M$9:$M$128,W2_Costing!$N$9:$N$128,"Must")</f>
        <v>#N/A</v>
      </c>
      <c r="E26" s="21" t="s">
        <v>566</v>
      </c>
      <c r="M26" s="3"/>
      <c r="N26" s="3"/>
      <c r="O26" s="3"/>
      <c r="P26" s="3"/>
      <c r="Q26" s="3"/>
      <c r="R26" s="3"/>
      <c r="S26" s="3"/>
      <c r="T26" s="3"/>
      <c r="U26" s="3"/>
      <c r="V26" s="3"/>
      <c r="W26" s="3"/>
      <c r="X26" s="3"/>
      <c r="Y26" s="3"/>
      <c r="Z26" s="3"/>
    </row>
    <row r="27" ht="14.25" customHeight="1">
      <c r="A27" s="46" t="s">
        <v>567</v>
      </c>
      <c r="B27" s="47" t="s">
        <v>568</v>
      </c>
      <c r="C27" s="52" t="str">
        <f>F21+G21</f>
        <v>#N/A</v>
      </c>
      <c r="D27" s="53" t="str">
        <f>SUMIFS(W2_Costing!$M$9:$M$128,W2_Costing!$N$9:$N$128,"Must")+SUMIFS(W2_Costing!$M$9:$M$128,W2_Costing!$N$9:$N$128,"Should")</f>
        <v>#N/A</v>
      </c>
      <c r="E27" s="21" t="s">
        <v>569</v>
      </c>
      <c r="M27" s="3"/>
      <c r="N27" s="3"/>
      <c r="O27" s="3"/>
      <c r="P27" s="3"/>
      <c r="Q27" s="3"/>
      <c r="R27" s="3"/>
      <c r="S27" s="3"/>
      <c r="T27" s="3"/>
      <c r="U27" s="3"/>
      <c r="V27" s="3"/>
      <c r="W27" s="3"/>
      <c r="X27" s="3"/>
      <c r="Y27" s="3"/>
      <c r="Z27" s="3"/>
    </row>
    <row r="28" ht="14.25" customHeight="1">
      <c r="A28" s="46" t="s">
        <v>570</v>
      </c>
      <c r="B28" s="47" t="s">
        <v>571</v>
      </c>
      <c r="C28" s="52" t="str">
        <f t="shared" ref="C28:D28" si="13">J21</f>
        <v>#N/A</v>
      </c>
      <c r="D28" s="53" t="str">
        <f t="shared" si="13"/>
        <v>#N/A</v>
      </c>
      <c r="E28" s="21" t="s">
        <v>576</v>
      </c>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11" t="s">
        <v>579</v>
      </c>
      <c r="B30" s="12"/>
      <c r="C30" s="12"/>
      <c r="D30" s="12"/>
      <c r="E30" s="12"/>
      <c r="F30" s="12"/>
      <c r="G30" s="12"/>
      <c r="H30" s="12"/>
      <c r="I30" s="12"/>
      <c r="J30" s="12"/>
      <c r="K30" s="12"/>
      <c r="L30" s="12"/>
      <c r="M30" s="3"/>
      <c r="N30" s="3"/>
      <c r="O30" s="3"/>
      <c r="P30" s="3"/>
      <c r="Q30" s="3"/>
      <c r="R30" s="3"/>
      <c r="S30" s="3"/>
      <c r="T30" s="3"/>
      <c r="U30" s="3"/>
      <c r="V30" s="3"/>
      <c r="W30" s="3"/>
      <c r="X30" s="3"/>
      <c r="Y30" s="3"/>
      <c r="Z30" s="3"/>
    </row>
    <row r="31" ht="31.5" customHeight="1">
      <c r="A31" s="13" t="s">
        <v>580</v>
      </c>
      <c r="B31" s="13" t="s">
        <v>581</v>
      </c>
      <c r="C31" s="13" t="s">
        <v>582</v>
      </c>
      <c r="D31" s="13" t="s">
        <v>583</v>
      </c>
      <c r="E31" s="13" t="s">
        <v>584</v>
      </c>
      <c r="F31" s="13"/>
      <c r="G31" s="13"/>
      <c r="H31" s="13"/>
      <c r="I31" s="13"/>
      <c r="J31" s="13"/>
      <c r="K31" s="13"/>
      <c r="L31" s="13"/>
      <c r="M31" s="3"/>
      <c r="N31" s="3"/>
      <c r="O31" s="3"/>
      <c r="P31" s="3"/>
      <c r="Q31" s="3"/>
      <c r="R31" s="3"/>
      <c r="S31" s="3"/>
      <c r="T31" s="3"/>
      <c r="U31" s="3"/>
      <c r="V31" s="3"/>
      <c r="W31" s="3"/>
      <c r="X31" s="3"/>
      <c r="Y31" s="3"/>
      <c r="Z31" s="3"/>
    </row>
    <row r="32" ht="14.25" customHeight="1">
      <c r="A32" s="47" t="s">
        <v>585</v>
      </c>
      <c r="B32" s="78">
        <f>IFERROR(SUMIFS(W2_Costing!$J$9:$J$128,W1_FunctionList!$H$10:$H$87,"Must")/(SUMIFS(W2_Costing!$J$9:$J$128,W1_FunctionList!$H$10:$H$87,"Must")+SUMIFS(W2_Costing!$J$9:$J$128,W1_FunctionList!$H$10:$H$87,"Should")+SUMIFS(W2_Costing!$J$9:$J$128,W1_FunctionList!$H$10:$H$87,"Could")),0)</f>
        <v>0</v>
      </c>
      <c r="C32" s="54" t="str">
        <f>IF(J21=0,0,F21/J21)</f>
        <v>#N/A</v>
      </c>
      <c r="D32" s="79">
        <f>Parameters!$B$48</f>
        <v>0.6</v>
      </c>
      <c r="E32" s="48" t="str">
        <f>IF(C32&lt;=D32,"PASS","ABOVE CEILING - demote some Must rows")</f>
        <v>#N/A</v>
      </c>
      <c r="F32" s="50"/>
      <c r="G32" s="50"/>
      <c r="H32" s="50"/>
      <c r="I32" s="50"/>
      <c r="J32" s="50"/>
      <c r="K32" s="50"/>
      <c r="L32" s="50"/>
      <c r="M32" s="3"/>
      <c r="N32" s="3"/>
      <c r="O32" s="3"/>
      <c r="P32" s="3"/>
      <c r="Q32" s="3"/>
      <c r="R32" s="3"/>
      <c r="S32" s="3"/>
      <c r="T32" s="3"/>
      <c r="U32" s="3"/>
      <c r="V32" s="3"/>
      <c r="W32" s="3"/>
      <c r="X32" s="3"/>
      <c r="Y32" s="3"/>
      <c r="Z32" s="3"/>
    </row>
    <row r="33" ht="14.25" customHeight="1">
      <c r="A33" s="47" t="s">
        <v>588</v>
      </c>
      <c r="B33" s="78">
        <f>IFERROR(SUMIFS(W2_Costing!$J$9:$J$128,W1_FunctionList!$H$10:$H$87,"Could")/(SUMIFS(W2_Costing!$J$9:$J$128,W1_FunctionList!$H$10:$H$87,"Must")+SUMIFS(W2_Costing!$J$9:$J$128,W1_FunctionList!$H$10:$H$87,"Should")+SUMIFS(W2_Costing!$J$9:$J$128,W1_FunctionList!$H$10:$H$87,"Could")),0)</f>
        <v>0</v>
      </c>
      <c r="C33" s="54" t="str">
        <f>IF(J21=0,0,H21/J21)</f>
        <v>#N/A</v>
      </c>
      <c r="D33" s="79">
        <f>Parameters!$B$49</f>
        <v>0.2</v>
      </c>
      <c r="E33" s="48" t="str">
        <f>IF(C33&gt;=D33*0.75,"PASS","POOL TOO THIN - nothing left to drop when late")</f>
        <v>#N/A</v>
      </c>
      <c r="F33" s="50"/>
      <c r="G33" s="50"/>
      <c r="H33" s="50"/>
      <c r="I33" s="50"/>
      <c r="J33" s="50"/>
      <c r="K33" s="50"/>
      <c r="L33" s="50"/>
      <c r="M33" s="3"/>
      <c r="N33" s="3"/>
      <c r="O33" s="3"/>
      <c r="P33" s="3"/>
      <c r="Q33" s="3"/>
      <c r="R33" s="3"/>
      <c r="S33" s="3"/>
      <c r="T33" s="3"/>
      <c r="U33" s="3"/>
      <c r="V33" s="3"/>
      <c r="W33" s="3"/>
      <c r="X33" s="3"/>
      <c r="Y33" s="3"/>
      <c r="Z33" s="3"/>
    </row>
    <row r="34" ht="14.25" customHeight="1">
      <c r="A34" s="47" t="s">
        <v>595</v>
      </c>
      <c r="B34" s="51" t="str">
        <f>(SUMIFS(W2_Costing!$J$9:$J$128,W1_FunctionList!$H$10:$H$87,"Must")+SUMIFS(W2_Costing!$J$9:$J$128,W1_FunctionList!$H$10:$H$87,"Should")+SUMIFS(W2_Costing!$J$9:$J$128,W1_FunctionList!$H$10:$H$87,"Could"))</f>
        <v>#N/A</v>
      </c>
      <c r="C34" s="52" t="str">
        <f>J21</f>
        <v>#N/A</v>
      </c>
      <c r="D34" s="45">
        <f>Parameters!$B$45</f>
        <v>360</v>
      </c>
      <c r="E34" s="48" t="str">
        <f>IF(C34&lt;=D34,"PASS","OVER CAPACITY")</f>
        <v>#N/A</v>
      </c>
      <c r="F34" s="50"/>
      <c r="G34" s="50"/>
      <c r="H34" s="50"/>
      <c r="I34" s="50"/>
      <c r="J34" s="50"/>
      <c r="K34" s="50"/>
      <c r="L34" s="50"/>
      <c r="M34" s="3"/>
      <c r="N34" s="3"/>
      <c r="O34" s="3"/>
      <c r="P34" s="3"/>
      <c r="Q34" s="3"/>
      <c r="R34" s="3"/>
      <c r="S34" s="3"/>
      <c r="T34" s="3"/>
      <c r="U34" s="3"/>
      <c r="V34" s="3"/>
      <c r="W34" s="3"/>
      <c r="X34" s="3"/>
      <c r="Y34" s="3"/>
      <c r="Z34" s="3"/>
    </row>
    <row r="35" ht="14.25" customHeight="1">
      <c r="A35" s="47" t="s">
        <v>596</v>
      </c>
      <c r="B35" s="78">
        <f>IFERROR(SUMIFS(W2_Costing!$J$9:$J$128,W1_FunctionList!$P$10:$P$87,"Yes")/SUM(W2_Costing!$J$9:$J$128),0)</f>
        <v>0</v>
      </c>
      <c r="C35" s="54">
        <f>IFERROR(SUMIFS(W2_Costing!$J$9:$J$128,W1_FunctionList!$P$10:$P$87,"Yes")/SUM(W2_Costing!$J$9:$J$128),0)</f>
        <v>0</v>
      </c>
      <c r="D35" s="79">
        <f>Parameters!$B$50</f>
        <v>0.1</v>
      </c>
      <c r="E35" s="48" t="str">
        <f>IF(C35&gt;=D35,"PASS","MISSING - revisit access control, deployment, tests")</f>
        <v>MISSING - revisit access control, deployment, tests</v>
      </c>
      <c r="F35" s="50"/>
      <c r="G35" s="50"/>
      <c r="H35" s="50"/>
      <c r="I35" s="50"/>
      <c r="J35" s="50"/>
      <c r="K35" s="50"/>
      <c r="L35" s="50"/>
      <c r="M35" s="3"/>
      <c r="N35" s="3"/>
      <c r="O35" s="3"/>
      <c r="P35" s="3"/>
      <c r="Q35" s="3"/>
      <c r="R35" s="3"/>
      <c r="S35" s="3"/>
      <c r="T35" s="3"/>
      <c r="U35" s="3"/>
      <c r="V35" s="3"/>
      <c r="W35" s="3"/>
      <c r="X35" s="3"/>
      <c r="Y35" s="3"/>
      <c r="Z35" s="3"/>
    </row>
    <row r="36" ht="14.25" customHeight="1">
      <c r="A36" s="47" t="s">
        <v>599</v>
      </c>
      <c r="B36" s="51">
        <f>COUNTIF(W1_FunctionList!$N$10:$N$87,"&gt;"&amp;Parameters!$B$51)</f>
        <v>0</v>
      </c>
      <c r="C36" s="52">
        <f>COUNTIF(W1_FunctionList!$N$10:$N$87,"&gt;"&amp;Parameters!$B$51)</f>
        <v>0</v>
      </c>
      <c r="D36" s="47">
        <v>0.0</v>
      </c>
      <c r="E36" s="48" t="str">
        <f>IF(C36=0,"PASS","SPLIT FURTHER: "&amp;C36&amp;" rows")</f>
        <v>PASS</v>
      </c>
      <c r="F36" s="50"/>
      <c r="G36" s="50"/>
      <c r="H36" s="50"/>
      <c r="I36" s="50"/>
      <c r="J36" s="50"/>
      <c r="K36" s="50"/>
      <c r="L36" s="50"/>
      <c r="M36" s="3"/>
      <c r="N36" s="3"/>
      <c r="O36" s="3"/>
      <c r="P36" s="3"/>
      <c r="Q36" s="3"/>
      <c r="R36" s="3"/>
      <c r="S36" s="3"/>
      <c r="T36" s="3"/>
      <c r="U36" s="3"/>
      <c r="V36" s="3"/>
      <c r="W36" s="3"/>
      <c r="X36" s="3"/>
      <c r="Y36" s="3"/>
      <c r="Z36" s="3"/>
    </row>
    <row r="37" ht="14.25" customHeight="1">
      <c r="A37" s="47" t="s">
        <v>218</v>
      </c>
      <c r="B37" s="51">
        <f>W0_Scope!$B$41</f>
        <v>4</v>
      </c>
      <c r="C37" s="52">
        <f>W0_Scope!$B$41</f>
        <v>4</v>
      </c>
      <c r="D37" s="45" t="str">
        <f>Parameters!$B$52&amp;"-"&amp;Parameters!$B$53</f>
        <v>3-6</v>
      </c>
      <c r="E37" s="48" t="str">
        <f>IF(AND(C37&gt;=Parameters!$B$52,C37&lt;=Parameters!$B$53),"PASS","REVIEW the feature split")</f>
        <v>PASS</v>
      </c>
      <c r="F37" s="50"/>
      <c r="G37" s="50"/>
      <c r="H37" s="50"/>
      <c r="I37" s="50"/>
      <c r="J37" s="50"/>
      <c r="K37" s="50"/>
      <c r="L37" s="50"/>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2" t="s">
        <v>607</v>
      </c>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80"/>
      <c r="B40" s="50"/>
      <c r="C40" s="50"/>
      <c r="D40" s="50"/>
      <c r="E40" s="50"/>
      <c r="F40" s="50"/>
      <c r="G40" s="50"/>
      <c r="H40" s="50"/>
      <c r="I40" s="50"/>
      <c r="J40" s="50"/>
      <c r="K40" s="50"/>
      <c r="L40" s="49"/>
      <c r="M40" s="3"/>
      <c r="N40" s="3"/>
      <c r="O40" s="3"/>
      <c r="P40" s="3"/>
      <c r="Q40" s="3"/>
      <c r="R40" s="3"/>
      <c r="S40" s="3"/>
      <c r="T40" s="3"/>
      <c r="U40" s="3"/>
      <c r="V40" s="3"/>
      <c r="W40" s="3"/>
      <c r="X40" s="3"/>
      <c r="Y40" s="3"/>
      <c r="Z40" s="3"/>
    </row>
    <row r="41" ht="14.25" customHeight="1">
      <c r="A41" s="80"/>
      <c r="B41" s="50"/>
      <c r="C41" s="50"/>
      <c r="D41" s="50"/>
      <c r="E41" s="50"/>
      <c r="F41" s="50"/>
      <c r="G41" s="50"/>
      <c r="H41" s="50"/>
      <c r="I41" s="50"/>
      <c r="J41" s="50"/>
      <c r="K41" s="50"/>
      <c r="L41" s="49"/>
      <c r="M41" s="3"/>
      <c r="N41" s="3"/>
      <c r="O41" s="3"/>
      <c r="P41" s="3"/>
      <c r="Q41" s="3"/>
      <c r="R41" s="3"/>
      <c r="S41" s="3"/>
      <c r="T41" s="3"/>
      <c r="U41" s="3"/>
      <c r="V41" s="3"/>
      <c r="W41" s="3"/>
      <c r="X41" s="3"/>
      <c r="Y41" s="3"/>
      <c r="Z41" s="3"/>
    </row>
    <row r="42" ht="14.25" customHeight="1">
      <c r="A42" s="80"/>
      <c r="B42" s="50"/>
      <c r="C42" s="50"/>
      <c r="D42" s="50"/>
      <c r="E42" s="50"/>
      <c r="F42" s="50"/>
      <c r="G42" s="50"/>
      <c r="H42" s="50"/>
      <c r="I42" s="50"/>
      <c r="J42" s="50"/>
      <c r="K42" s="50"/>
      <c r="L42" s="49"/>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3:J3"/>
    <mergeCell ref="B4:J4"/>
    <mergeCell ref="B5:J5"/>
    <mergeCell ref="A22:O22"/>
    <mergeCell ref="E26:L26"/>
    <mergeCell ref="E27:L27"/>
    <mergeCell ref="E28:L28"/>
    <mergeCell ref="A41:L41"/>
    <mergeCell ref="A42:L42"/>
    <mergeCell ref="E32:L32"/>
    <mergeCell ref="E33:L33"/>
    <mergeCell ref="E34:L34"/>
    <mergeCell ref="E35:L35"/>
    <mergeCell ref="E36:L36"/>
    <mergeCell ref="E37:L37"/>
    <mergeCell ref="A40:L4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33.71"/>
    <col customWidth="1" min="3" max="3" width="32.0"/>
    <col customWidth="1" min="4" max="4" width="14.0"/>
    <col customWidth="1" min="5" max="5" width="30.0"/>
    <col customWidth="1" min="6" max="6" width="18.0"/>
    <col customWidth="1" min="7" max="7" width="14.0"/>
    <col customWidth="1" min="8" max="8" width="16.0"/>
    <col customWidth="1" min="9" max="9" width="46.0"/>
    <col customWidth="1" min="10" max="10" width="13.0"/>
    <col customWidth="1" min="11" max="11" width="15.0"/>
  </cols>
  <sheetData>
    <row r="1" ht="14.25" customHeight="1">
      <c r="A1" s="2" t="s">
        <v>410</v>
      </c>
      <c r="B1" s="3"/>
      <c r="C1" s="3"/>
      <c r="D1" s="3"/>
      <c r="E1" s="3"/>
      <c r="F1" s="3"/>
      <c r="G1" s="3"/>
      <c r="H1" s="3"/>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ht="24.0" customHeight="1">
      <c r="A3" s="8" t="s">
        <v>4</v>
      </c>
      <c r="B3" s="9" t="s">
        <v>424</v>
      </c>
      <c r="L3" s="3"/>
      <c r="M3" s="3"/>
      <c r="N3" s="3"/>
      <c r="O3" s="3"/>
      <c r="P3" s="3"/>
      <c r="Q3" s="3"/>
      <c r="R3" s="3"/>
      <c r="S3" s="3"/>
      <c r="T3" s="3"/>
      <c r="U3" s="3"/>
      <c r="V3" s="3"/>
      <c r="W3" s="3"/>
      <c r="X3" s="3"/>
      <c r="Y3" s="3"/>
      <c r="Z3" s="3"/>
    </row>
    <row r="4" ht="30.0" customHeight="1">
      <c r="A4" s="8" t="s">
        <v>9</v>
      </c>
      <c r="B4" s="9" t="s">
        <v>429</v>
      </c>
      <c r="L4" s="3"/>
      <c r="M4" s="3"/>
      <c r="N4" s="3"/>
      <c r="O4" s="3"/>
      <c r="P4" s="3"/>
      <c r="Q4" s="3"/>
      <c r="R4" s="3"/>
      <c r="S4" s="3"/>
      <c r="T4" s="3"/>
      <c r="U4" s="3"/>
      <c r="V4" s="3"/>
      <c r="W4" s="3"/>
      <c r="X4" s="3"/>
      <c r="Y4" s="3"/>
      <c r="Z4" s="3"/>
    </row>
    <row r="5" ht="75.75" customHeight="1">
      <c r="A5" s="8" t="s">
        <v>11</v>
      </c>
      <c r="B5" s="9" t="s">
        <v>430</v>
      </c>
      <c r="L5" s="3"/>
      <c r="M5" s="3"/>
      <c r="N5" s="3"/>
      <c r="O5" s="3"/>
      <c r="P5" s="3"/>
      <c r="Q5" s="3"/>
      <c r="R5" s="3"/>
      <c r="S5" s="3"/>
      <c r="T5" s="3"/>
      <c r="U5" s="3"/>
      <c r="V5" s="3"/>
      <c r="W5" s="3"/>
      <c r="X5" s="3"/>
      <c r="Y5" s="3"/>
      <c r="Z5" s="3"/>
    </row>
    <row r="6" ht="25.5" customHeight="1">
      <c r="A6" s="8" t="s">
        <v>431</v>
      </c>
      <c r="B6" s="9" t="s">
        <v>432</v>
      </c>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11" t="s">
        <v>433</v>
      </c>
      <c r="B9" s="12"/>
      <c r="C9" s="12"/>
      <c r="D9" s="12"/>
      <c r="E9" s="12"/>
      <c r="F9" s="12"/>
      <c r="G9" s="12"/>
      <c r="H9" s="12"/>
      <c r="I9" s="12"/>
      <c r="J9" s="12"/>
      <c r="K9" s="12"/>
      <c r="L9" s="3"/>
      <c r="M9" s="3"/>
      <c r="N9" s="3"/>
      <c r="O9" s="3"/>
      <c r="P9" s="3"/>
      <c r="Q9" s="3"/>
      <c r="R9" s="3"/>
      <c r="S9" s="3"/>
      <c r="T9" s="3"/>
      <c r="U9" s="3"/>
      <c r="V9" s="3"/>
      <c r="W9" s="3"/>
      <c r="X9" s="3"/>
      <c r="Y9" s="3"/>
      <c r="Z9" s="3"/>
    </row>
    <row r="10" ht="31.5" customHeight="1">
      <c r="A10" s="13" t="s">
        <v>434</v>
      </c>
      <c r="B10" s="13" t="s">
        <v>435</v>
      </c>
      <c r="C10" s="13" t="s">
        <v>436</v>
      </c>
      <c r="D10" s="13"/>
      <c r="E10" s="13" t="s">
        <v>437</v>
      </c>
      <c r="F10" s="13"/>
      <c r="G10" s="13"/>
      <c r="H10" s="13"/>
      <c r="I10" s="13"/>
      <c r="J10" s="13"/>
      <c r="K10" s="13"/>
      <c r="L10" s="3"/>
      <c r="M10" s="3"/>
      <c r="N10" s="3"/>
      <c r="O10" s="3"/>
      <c r="P10" s="3"/>
      <c r="Q10" s="3"/>
      <c r="R10" s="3"/>
      <c r="S10" s="3"/>
      <c r="T10" s="3"/>
      <c r="U10" s="3"/>
      <c r="V10" s="3"/>
      <c r="W10" s="3"/>
      <c r="X10" s="3"/>
      <c r="Y10" s="3"/>
      <c r="Z10" s="3"/>
    </row>
    <row r="11" ht="24.0" customHeight="1">
      <c r="A11" s="46" t="s">
        <v>438</v>
      </c>
      <c r="B11" s="47" t="s">
        <v>439</v>
      </c>
      <c r="C11" s="48" t="s">
        <v>440</v>
      </c>
      <c r="D11" s="49"/>
      <c r="E11" s="48" t="s">
        <v>441</v>
      </c>
      <c r="F11" s="50"/>
      <c r="G11" s="49"/>
      <c r="H11" s="3"/>
      <c r="I11" s="3"/>
      <c r="J11" s="3"/>
      <c r="K11" s="3"/>
      <c r="L11" s="3"/>
      <c r="M11" s="3"/>
      <c r="N11" s="3"/>
      <c r="O11" s="3"/>
      <c r="P11" s="3"/>
      <c r="Q11" s="3"/>
      <c r="R11" s="3"/>
      <c r="S11" s="3"/>
      <c r="T11" s="3"/>
      <c r="U11" s="3"/>
      <c r="V11" s="3"/>
      <c r="W11" s="3"/>
      <c r="X11" s="3"/>
      <c r="Y11" s="3"/>
      <c r="Z11" s="3"/>
    </row>
    <row r="12" ht="24.0" customHeight="1">
      <c r="A12" s="46" t="s">
        <v>442</v>
      </c>
      <c r="B12" s="47" t="s">
        <v>443</v>
      </c>
      <c r="C12" s="48" t="s">
        <v>444</v>
      </c>
      <c r="D12" s="49"/>
      <c r="E12" s="48" t="s">
        <v>445</v>
      </c>
      <c r="F12" s="50"/>
      <c r="G12" s="49"/>
      <c r="H12" s="3"/>
      <c r="I12" s="3"/>
      <c r="J12" s="3"/>
      <c r="K12" s="3"/>
      <c r="L12" s="3"/>
      <c r="M12" s="3"/>
      <c r="N12" s="3"/>
      <c r="O12" s="3"/>
      <c r="P12" s="3"/>
      <c r="Q12" s="3"/>
      <c r="R12" s="3"/>
      <c r="S12" s="3"/>
      <c r="T12" s="3"/>
      <c r="U12" s="3"/>
      <c r="V12" s="3"/>
      <c r="W12" s="3"/>
      <c r="X12" s="3"/>
      <c r="Y12" s="3"/>
      <c r="Z12" s="3"/>
    </row>
    <row r="13" ht="24.0" customHeight="1">
      <c r="A13" s="46" t="s">
        <v>450</v>
      </c>
      <c r="B13" s="47" t="s">
        <v>451</v>
      </c>
      <c r="C13" s="48" t="s">
        <v>452</v>
      </c>
      <c r="D13" s="49"/>
      <c r="E13" s="48" t="s">
        <v>455</v>
      </c>
      <c r="F13" s="50"/>
      <c r="G13" s="49"/>
      <c r="H13" s="3"/>
      <c r="I13" s="3"/>
      <c r="J13" s="3"/>
      <c r="K13" s="3"/>
      <c r="L13" s="3"/>
      <c r="M13" s="3"/>
      <c r="N13" s="3"/>
      <c r="O13" s="3"/>
      <c r="P13" s="3"/>
      <c r="Q13" s="3"/>
      <c r="R13" s="3"/>
      <c r="S13" s="3"/>
      <c r="T13" s="3"/>
      <c r="U13" s="3"/>
      <c r="V13" s="3"/>
      <c r="W13" s="3"/>
      <c r="X13" s="3"/>
      <c r="Y13" s="3"/>
      <c r="Z13" s="3"/>
    </row>
    <row r="14" ht="24.0" customHeight="1">
      <c r="A14" s="46" t="s">
        <v>456</v>
      </c>
      <c r="B14" s="47" t="s">
        <v>457</v>
      </c>
      <c r="C14" s="48" t="s">
        <v>458</v>
      </c>
      <c r="D14" s="49"/>
      <c r="E14" s="48" t="s">
        <v>459</v>
      </c>
      <c r="F14" s="50"/>
      <c r="G14" s="49"/>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31.5" customHeight="1">
      <c r="A18" s="13" t="s">
        <v>55</v>
      </c>
      <c r="B18" s="13" t="s">
        <v>61</v>
      </c>
      <c r="C18" s="13" t="s">
        <v>63</v>
      </c>
      <c r="D18" s="13" t="s">
        <v>69</v>
      </c>
      <c r="E18" s="13" t="s">
        <v>460</v>
      </c>
      <c r="F18" s="13" t="s">
        <v>461</v>
      </c>
      <c r="G18" s="13" t="s">
        <v>462</v>
      </c>
      <c r="H18" s="13" t="s">
        <v>463</v>
      </c>
      <c r="I18" s="13" t="s">
        <v>464</v>
      </c>
      <c r="J18" s="13" t="s">
        <v>465</v>
      </c>
      <c r="K18" s="13" t="s">
        <v>466</v>
      </c>
      <c r="L18" s="3"/>
      <c r="M18" s="3"/>
      <c r="N18" s="3"/>
      <c r="O18" s="3"/>
      <c r="P18" s="3"/>
      <c r="Q18" s="3"/>
      <c r="R18" s="3"/>
      <c r="S18" s="3"/>
      <c r="T18" s="3"/>
      <c r="U18" s="3"/>
      <c r="V18" s="3"/>
      <c r="W18" s="3"/>
      <c r="X18" s="3"/>
      <c r="Y18" s="3"/>
      <c r="Z18" s="3"/>
    </row>
    <row r="19" ht="24.0" customHeight="1">
      <c r="A19" s="55" t="str">
        <f t="array" ref="A19">IF($B19="","",IFERROR(INDEX(W1_FunctionList!$A$10:$A$87,MATCH($B19,W1_FunctionList!$B$10:$B$87,0)),""))</f>
        <v>F-01</v>
      </c>
      <c r="B19" s="55" t="str">
        <f t="array" ref="B19">IFERROR(INDEX(W1_FunctionList!$B$10:$B$87,MATCH(1,W1_FunctionList!$R$10:$R$87,0)),"")</f>
        <v>FR-01-01</v>
      </c>
      <c r="C19" s="58" t="str">
        <f t="array" ref="C19">IF($B19="","",IFERROR(INDEX(W1_FunctionList!$C$10:$C$87,MATCH($B19,W1_FunctionList!$B$10:$B$87,0)),""))</f>
        <v>View book shelf location</v>
      </c>
      <c r="D19" s="55" t="str">
        <f t="array" ref="D19">IF($B19="","",IFERROR(INDEX(W1_FunctionList!$H$10:$H$87,MATCH($B19,W1_FunctionList!$B$10:$B$87,0)),""))</f>
        <v>Must</v>
      </c>
      <c r="E19" s="63"/>
      <c r="F19" s="63"/>
      <c r="G19" s="63"/>
      <c r="H19" s="64" t="str">
        <f t="shared" ref="H19:H64" si="1">IF($B19="","",IF(G19="",D19,G19))</f>
        <v>Must</v>
      </c>
      <c r="I19" s="66"/>
      <c r="J19" s="67" t="str">
        <f t="shared" ref="J19:J64" si="2">IF($B19="","",SUMIF(W2_Costing!$C$9:$C$128,$B19,W2_Costing!$J$9:$J$128))</f>
        <v>#N/A</v>
      </c>
      <c r="K19" s="68" t="str">
        <f t="shared" ref="K19:K64" si="3">IF($B19="","",SUMIF(W2_Costing!$C$9:$C$128,$B19,W2_Costing!$M$9:$M$128))</f>
        <v>#N/A</v>
      </c>
      <c r="L19" s="3"/>
      <c r="M19" s="3"/>
      <c r="N19" s="3"/>
      <c r="O19" s="3"/>
      <c r="P19" s="3"/>
      <c r="Q19" s="3"/>
      <c r="R19" s="3"/>
      <c r="S19" s="3"/>
      <c r="T19" s="3"/>
      <c r="U19" s="3"/>
      <c r="V19" s="3"/>
      <c r="W19" s="3"/>
      <c r="X19" s="3"/>
      <c r="Y19" s="3"/>
      <c r="Z19" s="3"/>
    </row>
    <row r="20" ht="24.0" customHeight="1">
      <c r="A20" s="55" t="str">
        <f t="array" ref="A20">IF($B20="","",IFERROR(INDEX(W1_FunctionList!$A$10:$A$87,MATCH($B20,W1_FunctionList!$B$10:$B$87,0)),""))</f>
        <v>F-01</v>
      </c>
      <c r="B20" s="55" t="str">
        <f t="array" ref="B20">IFERROR(INDEX(W1_FunctionList!$B$10:$B$87,MATCH(2,W1_FunctionList!$R$10:$R$87,0)),"")</f>
        <v>FR-01-02</v>
      </c>
      <c r="C20" s="58" t="str">
        <f t="array" ref="C20">IF($B20="","",IFERROR(INDEX(W1_FunctionList!$C$10:$C$87,MATCH($B20,W1_FunctionList!$B$10:$B$87,0)),""))</f>
        <v>Browse the digital library map</v>
      </c>
      <c r="D20" s="55" t="str">
        <f t="array" ref="D20">IF($B20="","",IFERROR(INDEX(W1_FunctionList!$H$10:$H$87,MATCH($B20,W1_FunctionList!$B$10:$B$87,0)),""))</f>
        <v>Must</v>
      </c>
      <c r="E20" s="63"/>
      <c r="F20" s="63"/>
      <c r="G20" s="63"/>
      <c r="H20" s="64" t="str">
        <f t="shared" si="1"/>
        <v>Must</v>
      </c>
      <c r="I20" s="66"/>
      <c r="J20" s="67" t="str">
        <f t="shared" si="2"/>
        <v>#N/A</v>
      </c>
      <c r="K20" s="68" t="str">
        <f t="shared" si="3"/>
        <v>#N/A</v>
      </c>
      <c r="L20" s="3"/>
      <c r="M20" s="3"/>
      <c r="N20" s="3"/>
      <c r="O20" s="3"/>
      <c r="P20" s="3"/>
      <c r="Q20" s="3"/>
      <c r="R20" s="3"/>
      <c r="S20" s="3"/>
      <c r="T20" s="3"/>
      <c r="U20" s="3"/>
      <c r="V20" s="3"/>
      <c r="W20" s="3"/>
      <c r="X20" s="3"/>
      <c r="Y20" s="3"/>
      <c r="Z20" s="3"/>
    </row>
    <row r="21" ht="24.0" customHeight="1">
      <c r="A21" s="55" t="str">
        <f t="array" ref="A21">IF($B21="","",IFERROR(INDEX(W1_FunctionList!$A$10:$A$87,MATCH($B21,W1_FunctionList!$B$10:$B$87,0)),""))</f>
        <v>F-01</v>
      </c>
      <c r="B21" s="55" t="str">
        <f t="array" ref="B21">IFERROR(INDEX(W1_FunctionList!$B$10:$B$87,MATCH(3,W1_FunctionList!$R$10:$R$87,0)),"")</f>
        <v>FR-01-03</v>
      </c>
      <c r="C21" s="58" t="str">
        <f t="array" ref="C21">IF($B21="","",IFERROR(INDEX(W1_FunctionList!$C$10:$C$87,MATCH($B21,W1_FunctionList!$B$10:$B$87,0)),""))</f>
        <v>Show a book's room on the map</v>
      </c>
      <c r="D21" s="55" t="str">
        <f t="array" ref="D21">IF($B21="","",IFERROR(INDEX(W1_FunctionList!$H$10:$H$87,MATCH($B21,W1_FunctionList!$B$10:$B$87,0)),""))</f>
        <v>Should</v>
      </c>
      <c r="E21" s="63" t="s">
        <v>527</v>
      </c>
      <c r="F21" s="63" t="s">
        <v>528</v>
      </c>
      <c r="G21" s="63" t="s">
        <v>389</v>
      </c>
      <c r="H21" s="64" t="str">
        <f t="shared" si="1"/>
        <v>Could</v>
      </c>
      <c r="I21" s="66" t="s">
        <v>531</v>
      </c>
      <c r="J21" s="67" t="str">
        <f t="shared" si="2"/>
        <v>#N/A</v>
      </c>
      <c r="K21" s="68" t="str">
        <f t="shared" si="3"/>
        <v>#N/A</v>
      </c>
      <c r="L21" s="3"/>
      <c r="M21" s="3"/>
      <c r="N21" s="3"/>
      <c r="O21" s="3"/>
      <c r="P21" s="3"/>
      <c r="Q21" s="3"/>
      <c r="R21" s="3"/>
      <c r="S21" s="3"/>
      <c r="T21" s="3"/>
      <c r="U21" s="3"/>
      <c r="V21" s="3"/>
      <c r="W21" s="3"/>
      <c r="X21" s="3"/>
      <c r="Y21" s="3"/>
      <c r="Z21" s="3"/>
    </row>
    <row r="22" ht="24.0" customHeight="1">
      <c r="A22" s="55" t="str">
        <f t="array" ref="A22">IF($B22="","",IFERROR(INDEX(W1_FunctionList!$A$10:$A$87,MATCH($B22,W1_FunctionList!$B$10:$B$87,0)),""))</f>
        <v>F-01</v>
      </c>
      <c r="B22" s="55" t="str">
        <f t="array" ref="B22">IFERROR(INDEX(W1_FunctionList!$B$10:$B$87,MATCH(4,W1_FunctionList!$R$10:$R$87,0)),"")</f>
        <v>FR-01-04</v>
      </c>
      <c r="C22" s="58" t="str">
        <f t="array" ref="C22">IF($B22="","",IFERROR(INDEX(W1_FunctionList!$C$10:$C$87,MATCH($B22,W1_FunctionList!$B$10:$B$87,0)),""))</f>
        <v>Prepare the digital floor plan</v>
      </c>
      <c r="D22" s="55" t="str">
        <f t="array" ref="D22">IF($B22="","",IFERROR(INDEX(W1_FunctionList!$H$10:$H$87,MATCH($B22,W1_FunctionList!$B$10:$B$87,0)),""))</f>
        <v>Must</v>
      </c>
      <c r="E22" s="63"/>
      <c r="F22" s="63"/>
      <c r="G22" s="63"/>
      <c r="H22" s="64" t="str">
        <f t="shared" si="1"/>
        <v>Must</v>
      </c>
      <c r="I22" s="66"/>
      <c r="J22" s="67" t="str">
        <f t="shared" si="2"/>
        <v>#N/A</v>
      </c>
      <c r="K22" s="68" t="str">
        <f t="shared" si="3"/>
        <v>#N/A</v>
      </c>
      <c r="L22" s="3"/>
      <c r="M22" s="3"/>
      <c r="N22" s="3"/>
      <c r="O22" s="3"/>
      <c r="P22" s="3"/>
      <c r="Q22" s="3"/>
      <c r="R22" s="3"/>
      <c r="S22" s="3"/>
      <c r="T22" s="3"/>
      <c r="U22" s="3"/>
      <c r="V22" s="3"/>
      <c r="W22" s="3"/>
      <c r="X22" s="3"/>
      <c r="Y22" s="3"/>
      <c r="Z22" s="3"/>
    </row>
    <row r="23" ht="24.0" customHeight="1">
      <c r="A23" s="55" t="str">
        <f t="array" ref="A23">IF($B23="","",IFERROR(INDEX(W1_FunctionList!$A$10:$A$87,MATCH($B23,W1_FunctionList!$B$10:$B$87,0)),""))</f>
        <v>F-01</v>
      </c>
      <c r="B23" s="55" t="str">
        <f t="array" ref="B23">IFERROR(INDEX(W1_FunctionList!$B$10:$B$87,MATCH(5,W1_FunctionList!$R$10:$R$87,0)),"")</f>
        <v>FR-01-05</v>
      </c>
      <c r="C23" s="58" t="str">
        <f t="array" ref="C23">IF($B23="","",IFERROR(INDEX(W1_FunctionList!$C$10:$C$87,MATCH($B23,W1_FunctionList!$B$10:$B$87,0)),""))</f>
        <v>Check room codes against the internal system</v>
      </c>
      <c r="D23" s="55" t="str">
        <f t="array" ref="D23">IF($B23="","",IFERROR(INDEX(W1_FunctionList!$H$10:$H$87,MATCH($B23,W1_FunctionList!$B$10:$B$87,0)),""))</f>
        <v>Should</v>
      </c>
      <c r="E23" s="63"/>
      <c r="F23" s="63"/>
      <c r="G23" s="63"/>
      <c r="H23" s="64" t="str">
        <f t="shared" si="1"/>
        <v>Should</v>
      </c>
      <c r="I23" s="66"/>
      <c r="J23" s="67" t="str">
        <f t="shared" si="2"/>
        <v>#N/A</v>
      </c>
      <c r="K23" s="68" t="str">
        <f t="shared" si="3"/>
        <v>#N/A</v>
      </c>
      <c r="L23" s="3"/>
      <c r="M23" s="3"/>
      <c r="N23" s="3"/>
      <c r="O23" s="3"/>
      <c r="P23" s="3"/>
      <c r="Q23" s="3"/>
      <c r="R23" s="3"/>
      <c r="S23" s="3"/>
      <c r="T23" s="3"/>
      <c r="U23" s="3"/>
      <c r="V23" s="3"/>
      <c r="W23" s="3"/>
      <c r="X23" s="3"/>
      <c r="Y23" s="3"/>
      <c r="Z23" s="3"/>
    </row>
    <row r="24" ht="24.0" customHeight="1">
      <c r="A24" s="55" t="str">
        <f t="array" ref="A24">IF($B24="","",IFERROR(INDEX(W1_FunctionList!$A$10:$A$87,MATCH($B24,W1_FunctionList!$B$10:$B$87,0)),""))</f>
        <v>F-02</v>
      </c>
      <c r="B24" s="55" t="str">
        <f t="array" ref="B24">IFERROR(INDEX(W1_FunctionList!$B$10:$B$87,MATCH(6,W1_FunctionList!$R$10:$R$87,0)),"")</f>
        <v>FR-02-01</v>
      </c>
      <c r="C24" s="58" t="str">
        <f t="array" ref="C24">IF($B24="","",IFERROR(INDEX(W1_FunctionList!$C$10:$C$87,MATCH($B24,W1_FunctionList!$B$10:$B$87,0)),""))</f>
        <v>Write a book review</v>
      </c>
      <c r="D24" s="55" t="str">
        <f t="array" ref="D24">IF($B24="","",IFERROR(INDEX(W1_FunctionList!$H$10:$H$87,MATCH($B24,W1_FunctionList!$B$10:$B$87,0)),""))</f>
        <v>Must</v>
      </c>
      <c r="E24" s="63"/>
      <c r="F24" s="63"/>
      <c r="G24" s="63"/>
      <c r="H24" s="64" t="str">
        <f t="shared" si="1"/>
        <v>Must</v>
      </c>
      <c r="I24" s="66"/>
      <c r="J24" s="67" t="str">
        <f t="shared" si="2"/>
        <v>#N/A</v>
      </c>
      <c r="K24" s="68" t="str">
        <f t="shared" si="3"/>
        <v>#N/A</v>
      </c>
      <c r="L24" s="3"/>
      <c r="M24" s="3"/>
      <c r="N24" s="3"/>
      <c r="O24" s="3"/>
      <c r="P24" s="3"/>
      <c r="Q24" s="3"/>
      <c r="R24" s="3"/>
      <c r="S24" s="3"/>
      <c r="T24" s="3"/>
      <c r="U24" s="3"/>
      <c r="V24" s="3"/>
      <c r="W24" s="3"/>
      <c r="X24" s="3"/>
      <c r="Y24" s="3"/>
      <c r="Z24" s="3"/>
    </row>
    <row r="25" ht="24.0" customHeight="1">
      <c r="A25" s="55" t="str">
        <f t="array" ref="A25">IF($B25="","",IFERROR(INDEX(W1_FunctionList!$A$10:$A$87,MATCH($B25,W1_FunctionList!$B$10:$B$87,0)),""))</f>
        <v>F-02</v>
      </c>
      <c r="B25" s="55" t="str">
        <f t="array" ref="B25">IFERROR(INDEX(W1_FunctionList!$B$10:$B$87,MATCH(7,W1_FunctionList!$R$10:$R$87,0)),"")</f>
        <v>FR-02-02</v>
      </c>
      <c r="C25" s="58" t="str">
        <f t="array" ref="C25">IF($B25="","",IFERROR(INDEX(W1_FunctionList!$C$10:$C$87,MATCH($B25,W1_FunctionList!$B$10:$B$87,0)),""))</f>
        <v>View book reviews</v>
      </c>
      <c r="D25" s="55" t="str">
        <f t="array" ref="D25">IF($B25="","",IFERROR(INDEX(W1_FunctionList!$H$10:$H$87,MATCH($B25,W1_FunctionList!$B$10:$B$87,0)),""))</f>
        <v>Must</v>
      </c>
      <c r="E25" s="63"/>
      <c r="F25" s="63"/>
      <c r="G25" s="63"/>
      <c r="H25" s="64" t="str">
        <f t="shared" si="1"/>
        <v>Must</v>
      </c>
      <c r="I25" s="66"/>
      <c r="J25" s="67" t="str">
        <f t="shared" si="2"/>
        <v>#N/A</v>
      </c>
      <c r="K25" s="68" t="str">
        <f t="shared" si="3"/>
        <v>#N/A</v>
      </c>
      <c r="L25" s="3"/>
      <c r="M25" s="3"/>
      <c r="N25" s="3"/>
      <c r="O25" s="3"/>
      <c r="P25" s="3"/>
      <c r="Q25" s="3"/>
      <c r="R25" s="3"/>
      <c r="S25" s="3"/>
      <c r="T25" s="3"/>
      <c r="U25" s="3"/>
      <c r="V25" s="3"/>
      <c r="W25" s="3"/>
      <c r="X25" s="3"/>
      <c r="Y25" s="3"/>
      <c r="Z25" s="3"/>
    </row>
    <row r="26" ht="24.0" customHeight="1">
      <c r="A26" s="55" t="str">
        <f t="array" ref="A26">IF($B26="","",IFERROR(INDEX(W1_FunctionList!$A$10:$A$87,MATCH($B26,W1_FunctionList!$B$10:$B$87,0)),""))</f>
        <v>F-02</v>
      </c>
      <c r="B26" s="55" t="str">
        <f t="array" ref="B26">IFERROR(INDEX(W1_FunctionList!$B$10:$B$87,MATCH(8,W1_FunctionList!$R$10:$R$87,0)),"")</f>
        <v>FR-02-03</v>
      </c>
      <c r="C26" s="58" t="str">
        <f t="array" ref="C26">IF($B26="","",IFERROR(INDEX(W1_FunctionList!$C$10:$C$87,MATCH($B26,W1_FunctionList!$B$10:$B$87,0)),""))</f>
        <v>Edit own review</v>
      </c>
      <c r="D26" s="55" t="str">
        <f t="array" ref="D26">IF($B26="","",IFERROR(INDEX(W1_FunctionList!$H$10:$H$87,MATCH($B26,W1_FunctionList!$B$10:$B$87,0)),""))</f>
        <v>Could</v>
      </c>
      <c r="E26" s="63"/>
      <c r="F26" s="63"/>
      <c r="G26" s="63"/>
      <c r="H26" s="64" t="str">
        <f t="shared" si="1"/>
        <v>Could</v>
      </c>
      <c r="I26" s="66"/>
      <c r="J26" s="67" t="str">
        <f t="shared" si="2"/>
        <v>#N/A</v>
      </c>
      <c r="K26" s="68" t="str">
        <f t="shared" si="3"/>
        <v>#N/A</v>
      </c>
      <c r="L26" s="3"/>
      <c r="M26" s="3"/>
      <c r="N26" s="3"/>
      <c r="O26" s="3"/>
      <c r="P26" s="3"/>
      <c r="Q26" s="3"/>
      <c r="R26" s="3"/>
      <c r="S26" s="3"/>
      <c r="T26" s="3"/>
      <c r="U26" s="3"/>
      <c r="V26" s="3"/>
      <c r="W26" s="3"/>
      <c r="X26" s="3"/>
      <c r="Y26" s="3"/>
      <c r="Z26" s="3"/>
    </row>
    <row r="27" ht="24.0" customHeight="1">
      <c r="A27" s="55" t="str">
        <f t="array" ref="A27">IF($B27="","",IFERROR(INDEX(W1_FunctionList!$A$10:$A$87,MATCH($B27,W1_FunctionList!$B$10:$B$87,0)),""))</f>
        <v>F-02</v>
      </c>
      <c r="B27" s="55" t="str">
        <f t="array" ref="B27">IFERROR(INDEX(W1_FunctionList!$B$10:$B$87,MATCH(9,W1_FunctionList!$R$10:$R$87,0)),"")</f>
        <v>FR-02-04</v>
      </c>
      <c r="C27" s="58" t="str">
        <f t="array" ref="C27">IF($B27="","",IFERROR(INDEX(W1_FunctionList!$C$10:$C$87,MATCH($B27,W1_FunctionList!$B$10:$B$87,0)),""))</f>
        <v>Delete own review</v>
      </c>
      <c r="D27" s="55" t="str">
        <f t="array" ref="D27">IF($B27="","",IFERROR(INDEX(W1_FunctionList!$H$10:$H$87,MATCH($B27,W1_FunctionList!$B$10:$B$87,0)),""))</f>
        <v>Could</v>
      </c>
      <c r="E27" s="63"/>
      <c r="F27" s="63"/>
      <c r="G27" s="63"/>
      <c r="H27" s="64" t="str">
        <f t="shared" si="1"/>
        <v>Could</v>
      </c>
      <c r="I27" s="66"/>
      <c r="J27" s="67" t="str">
        <f t="shared" si="2"/>
        <v>#N/A</v>
      </c>
      <c r="K27" s="68" t="str">
        <f t="shared" si="3"/>
        <v>#N/A</v>
      </c>
      <c r="L27" s="3"/>
      <c r="M27" s="3"/>
      <c r="N27" s="3"/>
      <c r="O27" s="3"/>
      <c r="P27" s="3"/>
      <c r="Q27" s="3"/>
      <c r="R27" s="3"/>
      <c r="S27" s="3"/>
      <c r="T27" s="3"/>
      <c r="U27" s="3"/>
      <c r="V27" s="3"/>
      <c r="W27" s="3"/>
      <c r="X27" s="3"/>
      <c r="Y27" s="3"/>
      <c r="Z27" s="3"/>
    </row>
    <row r="28" ht="24.0" customHeight="1">
      <c r="A28" s="55" t="str">
        <f t="array" ref="A28">IF($B28="","",IFERROR(INDEX(W1_FunctionList!$A$10:$A$87,MATCH($B28,W1_FunctionList!$B$10:$B$87,0)),""))</f>
        <v>F-02</v>
      </c>
      <c r="B28" s="55" t="str">
        <f t="array" ref="B28">IFERROR(INDEX(W1_FunctionList!$B$10:$B$87,MATCH(10,W1_FunctionList!$R$10:$R$87,0)),"")</f>
        <v>FR-02-05</v>
      </c>
      <c r="C28" s="58" t="str">
        <f t="array" ref="C28">IF($B28="","",IFERROR(INDEX(W1_FunctionList!$C$10:$C$87,MATCH($B28,W1_FunctionList!$B$10:$B$87,0)),""))</f>
        <v>Open book information and reviews via QR code</v>
      </c>
      <c r="D28" s="55" t="str">
        <f t="array" ref="D28">IF($B28="","",IFERROR(INDEX(W1_FunctionList!$H$10:$H$87,MATCH($B28,W1_FunctionList!$B$10:$B$87,0)),""))</f>
        <v>Must</v>
      </c>
      <c r="E28" s="63"/>
      <c r="F28" s="63"/>
      <c r="G28" s="63"/>
      <c r="H28" s="64" t="str">
        <f t="shared" si="1"/>
        <v>Must</v>
      </c>
      <c r="I28" s="66"/>
      <c r="J28" s="67" t="str">
        <f t="shared" si="2"/>
        <v>#N/A</v>
      </c>
      <c r="K28" s="68" t="str">
        <f t="shared" si="3"/>
        <v>#N/A</v>
      </c>
      <c r="L28" s="3"/>
      <c r="M28" s="3"/>
      <c r="N28" s="3"/>
      <c r="O28" s="3"/>
      <c r="P28" s="3"/>
      <c r="Q28" s="3"/>
      <c r="R28" s="3"/>
      <c r="S28" s="3"/>
      <c r="T28" s="3"/>
      <c r="U28" s="3"/>
      <c r="V28" s="3"/>
      <c r="W28" s="3"/>
      <c r="X28" s="3"/>
      <c r="Y28" s="3"/>
      <c r="Z28" s="3"/>
    </row>
    <row r="29" ht="24.0" customHeight="1">
      <c r="A29" s="55" t="str">
        <f t="array" ref="A29">IF($B29="","",IFERROR(INDEX(W1_FunctionList!$A$10:$A$87,MATCH($B29,W1_FunctionList!$B$10:$B$87,0)),""))</f>
        <v>F-02</v>
      </c>
      <c r="B29" s="55" t="str">
        <f t="array" ref="B29">IFERROR(INDEX(W1_FunctionList!$B$10:$B$87,MATCH(11,W1_FunctionList!$R$10:$R$87,0)),"")</f>
        <v>FR-02-06</v>
      </c>
      <c r="C29" s="58" t="str">
        <f t="array" ref="C29">IF($B29="","",IFERROR(INDEX(W1_FunctionList!$C$10:$C$87,MATCH($B29,W1_FunctionList!$B$10:$B$87,0)),""))</f>
        <v>Count QR code scans</v>
      </c>
      <c r="D29" s="55" t="str">
        <f t="array" ref="D29">IF($B29="","",IFERROR(INDEX(W1_FunctionList!$H$10:$H$87,MATCH($B29,W1_FunctionList!$B$10:$B$87,0)),""))</f>
        <v>Should</v>
      </c>
      <c r="E29" s="63" t="s">
        <v>527</v>
      </c>
      <c r="F29" s="63" t="s">
        <v>528</v>
      </c>
      <c r="G29" s="63" t="s">
        <v>389</v>
      </c>
      <c r="H29" s="64" t="str">
        <f t="shared" si="1"/>
        <v>Could</v>
      </c>
      <c r="I29" s="66" t="s">
        <v>606</v>
      </c>
      <c r="J29" s="67" t="str">
        <f t="shared" si="2"/>
        <v>#N/A</v>
      </c>
      <c r="K29" s="68" t="str">
        <f t="shared" si="3"/>
        <v>#N/A</v>
      </c>
      <c r="L29" s="3"/>
      <c r="M29" s="3"/>
      <c r="N29" s="3"/>
      <c r="O29" s="3"/>
      <c r="P29" s="3"/>
      <c r="Q29" s="3"/>
      <c r="R29" s="3"/>
      <c r="S29" s="3"/>
      <c r="T29" s="3"/>
      <c r="U29" s="3"/>
      <c r="V29" s="3"/>
      <c r="W29" s="3"/>
      <c r="X29" s="3"/>
      <c r="Y29" s="3"/>
      <c r="Z29" s="3"/>
    </row>
    <row r="30" ht="24.0" customHeight="1">
      <c r="A30" s="55" t="str">
        <f t="array" ref="A30">IF($B30="","",IFERROR(INDEX(W1_FunctionList!$A$10:$A$87,MATCH($B30,W1_FunctionList!$B$10:$B$87,0)),""))</f>
        <v>F-02</v>
      </c>
      <c r="B30" s="55" t="str">
        <f t="array" ref="B30">IFERROR(INDEX(W1_FunctionList!$B$10:$B$87,MATCH(12,W1_FunctionList!$R$10:$R$87,0)),"")</f>
        <v>FR-02-07</v>
      </c>
      <c r="C30" s="58" t="str">
        <f t="array" ref="C30">IF($B30="","",IFERROR(INDEX(W1_FunctionList!$C$10:$C$87,MATCH($B30,W1_FunctionList!$B$10:$B$87,0)),""))</f>
        <v>Generate QR codes for new physical books</v>
      </c>
      <c r="D30" s="55" t="str">
        <f t="array" ref="D30">IF($B30="","",IFERROR(INDEX(W1_FunctionList!$H$10:$H$87,MATCH($B30,W1_FunctionList!$B$10:$B$87,0)),""))</f>
        <v>Must</v>
      </c>
      <c r="E30" s="63"/>
      <c r="F30" s="63"/>
      <c r="G30" s="63"/>
      <c r="H30" s="64" t="str">
        <f t="shared" si="1"/>
        <v>Must</v>
      </c>
      <c r="I30" s="66"/>
      <c r="J30" s="67" t="str">
        <f t="shared" si="2"/>
        <v>#N/A</v>
      </c>
      <c r="K30" s="68" t="str">
        <f t="shared" si="3"/>
        <v>#N/A</v>
      </c>
      <c r="L30" s="3"/>
      <c r="M30" s="3"/>
      <c r="N30" s="3"/>
      <c r="O30" s="3"/>
      <c r="P30" s="3"/>
      <c r="Q30" s="3"/>
      <c r="R30" s="3"/>
      <c r="S30" s="3"/>
      <c r="T30" s="3"/>
      <c r="U30" s="3"/>
      <c r="V30" s="3"/>
      <c r="W30" s="3"/>
      <c r="X30" s="3"/>
      <c r="Y30" s="3"/>
      <c r="Z30" s="3"/>
    </row>
    <row r="31" ht="24.0" customHeight="1">
      <c r="A31" s="55" t="str">
        <f t="array" ref="A31">IF($B31="","",IFERROR(INDEX(W1_FunctionList!$A$10:$A$87,MATCH($B31,W1_FunctionList!$B$10:$B$87,0)),""))</f>
        <v>F-02</v>
      </c>
      <c r="B31" s="55" t="str">
        <f t="array" ref="B31">IFERROR(INDEX(W1_FunctionList!$B$10:$B$87,MATCH(13,W1_FunctionList!$R$10:$R$87,0)),"")</f>
        <v>FR-02-08</v>
      </c>
      <c r="C31" s="58" t="str">
        <f t="array" ref="C31">IF($B31="","",IFERROR(INDEX(W1_FunctionList!$C$10:$C$87,MATCH($B31,W1_FunctionList!$B$10:$B$87,0)),""))</f>
        <v>Print QR code labels</v>
      </c>
      <c r="D31" s="55" t="str">
        <f t="array" ref="D31">IF($B31="","",IFERROR(INDEX(W1_FunctionList!$H$10:$H$87,MATCH($B31,W1_FunctionList!$B$10:$B$87,0)),""))</f>
        <v>Must</v>
      </c>
      <c r="E31" s="63"/>
      <c r="F31" s="63"/>
      <c r="G31" s="63"/>
      <c r="H31" s="64" t="str">
        <f t="shared" si="1"/>
        <v>Must</v>
      </c>
      <c r="I31" s="66"/>
      <c r="J31" s="67" t="str">
        <f t="shared" si="2"/>
        <v>#N/A</v>
      </c>
      <c r="K31" s="68" t="str">
        <f t="shared" si="3"/>
        <v>#N/A</v>
      </c>
      <c r="L31" s="3"/>
      <c r="M31" s="3"/>
      <c r="N31" s="3"/>
      <c r="O31" s="3"/>
      <c r="P31" s="3"/>
      <c r="Q31" s="3"/>
      <c r="R31" s="3"/>
      <c r="S31" s="3"/>
      <c r="T31" s="3"/>
      <c r="U31" s="3"/>
      <c r="V31" s="3"/>
      <c r="W31" s="3"/>
      <c r="X31" s="3"/>
      <c r="Y31" s="3"/>
      <c r="Z31" s="3"/>
    </row>
    <row r="32" ht="24.0" customHeight="1">
      <c r="A32" s="55" t="str">
        <f t="array" ref="A32">IF($B32="","",IFERROR(INDEX(W1_FunctionList!$A$10:$A$87,MATCH($B32,W1_FunctionList!$B$10:$B$87,0)),""))</f>
        <v>F-02</v>
      </c>
      <c r="B32" s="55" t="str">
        <f t="array" ref="B32">IFERROR(INDEX(W1_FunctionList!$B$10:$B$87,MATCH(14,W1_FunctionList!$R$10:$R$87,0)),"")</f>
        <v>FR-02-09</v>
      </c>
      <c r="C32" s="58" t="str">
        <f t="array" ref="C32">IF($B32="","",IFERROR(INDEX(W1_FunctionList!$C$10:$C$87,MATCH($B32,W1_FunctionList!$B$10:$B$87,0)),""))</f>
        <v>Report a review that breaks the rules</v>
      </c>
      <c r="D32" s="55" t="str">
        <f t="array" ref="D32">IF($B32="","",IFERROR(INDEX(W1_FunctionList!$H$10:$H$87,MATCH($B32,W1_FunctionList!$B$10:$B$87,0)),""))</f>
        <v>Could</v>
      </c>
      <c r="E32" s="63"/>
      <c r="F32" s="63"/>
      <c r="G32" s="63"/>
      <c r="H32" s="64" t="str">
        <f t="shared" si="1"/>
        <v>Could</v>
      </c>
      <c r="I32" s="66"/>
      <c r="J32" s="67" t="str">
        <f t="shared" si="2"/>
        <v>#N/A</v>
      </c>
      <c r="K32" s="68" t="str">
        <f t="shared" si="3"/>
        <v>#N/A</v>
      </c>
      <c r="L32" s="3"/>
      <c r="M32" s="3"/>
      <c r="N32" s="3"/>
      <c r="O32" s="3"/>
      <c r="P32" s="3"/>
      <c r="Q32" s="3"/>
      <c r="R32" s="3"/>
      <c r="S32" s="3"/>
      <c r="T32" s="3"/>
      <c r="U32" s="3"/>
      <c r="V32" s="3"/>
      <c r="W32" s="3"/>
      <c r="X32" s="3"/>
      <c r="Y32" s="3"/>
      <c r="Z32" s="3"/>
    </row>
    <row r="33" ht="24.0" customHeight="1">
      <c r="A33" s="55" t="str">
        <f t="array" ref="A33">IF($B33="","",IFERROR(INDEX(W1_FunctionList!$A$10:$A$87,MATCH($B33,W1_FunctionList!$B$10:$B$87,0)),""))</f>
        <v>F-02</v>
      </c>
      <c r="B33" s="55" t="str">
        <f t="array" ref="B33">IFERROR(INDEX(W1_FunctionList!$B$10:$B$87,MATCH(15,W1_FunctionList!$R$10:$R$87,0)),"")</f>
        <v>FR-02-10</v>
      </c>
      <c r="C33" s="58" t="str">
        <f t="array" ref="C33">IF($B33="","",IFERROR(INDEX(W1_FunctionList!$C$10:$C$87,MATCH($B33,W1_FunctionList!$B$10:$B$87,0)),""))</f>
        <v>Review and remove reported reviews</v>
      </c>
      <c r="D33" s="55" t="str">
        <f t="array" ref="D33">IF($B33="","",IFERROR(INDEX(W1_FunctionList!$H$10:$H$87,MATCH($B33,W1_FunctionList!$B$10:$B$87,0)),""))</f>
        <v>Could</v>
      </c>
      <c r="E33" s="63"/>
      <c r="F33" s="63"/>
      <c r="G33" s="63"/>
      <c r="H33" s="64" t="str">
        <f t="shared" si="1"/>
        <v>Could</v>
      </c>
      <c r="I33" s="66"/>
      <c r="J33" s="67" t="str">
        <f t="shared" si="2"/>
        <v>#N/A</v>
      </c>
      <c r="K33" s="68" t="str">
        <f t="shared" si="3"/>
        <v>#N/A</v>
      </c>
      <c r="L33" s="3"/>
      <c r="M33" s="3"/>
      <c r="N33" s="3"/>
      <c r="O33" s="3"/>
      <c r="P33" s="3"/>
      <c r="Q33" s="3"/>
      <c r="R33" s="3"/>
      <c r="S33" s="3"/>
      <c r="T33" s="3"/>
      <c r="U33" s="3"/>
      <c r="V33" s="3"/>
      <c r="W33" s="3"/>
      <c r="X33" s="3"/>
      <c r="Y33" s="3"/>
      <c r="Z33" s="3"/>
    </row>
    <row r="34" ht="24.0" customHeight="1">
      <c r="A34" s="55" t="str">
        <f t="array" ref="A34">IF($B34="","",IFERROR(INDEX(W1_FunctionList!$A$10:$A$87,MATCH($B34,W1_FunctionList!$B$10:$B$87,0)),""))</f>
        <v>F-03</v>
      </c>
      <c r="B34" s="55" t="str">
        <f t="array" ref="B34">IFERROR(INDEX(W1_FunctionList!$B$10:$B$87,MATCH(16,W1_FunctionList!$R$10:$R$87,0)),"")</f>
        <v>FR-03-01</v>
      </c>
      <c r="C34" s="58" t="str">
        <f t="array" ref="C34">IF($B34="","",IFERROR(INDEX(W1_FunctionList!$C$10:$C$87,MATCH($B34,W1_FunctionList!$B$10:$B$87,0)),""))</f>
        <v>View reading history</v>
      </c>
      <c r="D34" s="55" t="str">
        <f t="array" ref="D34">IF($B34="","",IFERROR(INDEX(W1_FunctionList!$H$10:$H$87,MATCH($B34,W1_FunctionList!$B$10:$B$87,0)),""))</f>
        <v>Should</v>
      </c>
      <c r="E34" s="63"/>
      <c r="F34" s="63"/>
      <c r="G34" s="63"/>
      <c r="H34" s="64" t="str">
        <f t="shared" si="1"/>
        <v>Should</v>
      </c>
      <c r="I34" s="66"/>
      <c r="J34" s="67" t="str">
        <f t="shared" si="2"/>
        <v>#N/A</v>
      </c>
      <c r="K34" s="68" t="str">
        <f t="shared" si="3"/>
        <v>#N/A</v>
      </c>
      <c r="L34" s="3"/>
      <c r="M34" s="3"/>
      <c r="N34" s="3"/>
      <c r="O34" s="3"/>
      <c r="P34" s="3"/>
      <c r="Q34" s="3"/>
      <c r="R34" s="3"/>
      <c r="S34" s="3"/>
      <c r="T34" s="3"/>
      <c r="U34" s="3"/>
      <c r="V34" s="3"/>
      <c r="W34" s="3"/>
      <c r="X34" s="3"/>
      <c r="Y34" s="3"/>
      <c r="Z34" s="3"/>
    </row>
    <row r="35" ht="24.0" customHeight="1">
      <c r="A35" s="55" t="str">
        <f t="array" ref="A35">IF($B35="","",IFERROR(INDEX(W1_FunctionList!$A$10:$A$87,MATCH($B35,W1_FunctionList!$B$10:$B$87,0)),""))</f>
        <v>F-03</v>
      </c>
      <c r="B35" s="55" t="str">
        <f t="array" ref="B35">IFERROR(INDEX(W1_FunctionList!$B$10:$B$87,MATCH(17,W1_FunctionList!$R$10:$R$87,0)),"")</f>
        <v>FR-03-02</v>
      </c>
      <c r="C35" s="58" t="str">
        <f t="array" ref="C35">IF($B35="","",IFERROR(INDEX(W1_FunctionList!$C$10:$C$87,MATCH($B35,W1_FunctionList!$B$10:$B$87,0)),""))</f>
        <v>Add a history entry when an online book is opened or downloaded</v>
      </c>
      <c r="D35" s="55" t="str">
        <f t="array" ref="D35">IF($B35="","",IFERROR(INDEX(W1_FunctionList!$H$10:$H$87,MATCH($B35,W1_FunctionList!$B$10:$B$87,0)),""))</f>
        <v>Should</v>
      </c>
      <c r="E35" s="63"/>
      <c r="F35" s="63"/>
      <c r="G35" s="63"/>
      <c r="H35" s="64" t="str">
        <f t="shared" si="1"/>
        <v>Should</v>
      </c>
      <c r="I35" s="66"/>
      <c r="J35" s="67" t="str">
        <f t="shared" si="2"/>
        <v>#N/A</v>
      </c>
      <c r="K35" s="68" t="str">
        <f t="shared" si="3"/>
        <v>#N/A</v>
      </c>
      <c r="L35" s="3"/>
      <c r="M35" s="3"/>
      <c r="N35" s="3"/>
      <c r="O35" s="3"/>
      <c r="P35" s="3"/>
      <c r="Q35" s="3"/>
      <c r="R35" s="3"/>
      <c r="S35" s="3"/>
      <c r="T35" s="3"/>
      <c r="U35" s="3"/>
      <c r="V35" s="3"/>
      <c r="W35" s="3"/>
      <c r="X35" s="3"/>
      <c r="Y35" s="3"/>
      <c r="Z35" s="3"/>
    </row>
    <row r="36" ht="24.0" customHeight="1">
      <c r="A36" s="55" t="str">
        <f t="array" ref="A36">IF($B36="","",IFERROR(INDEX(W1_FunctionList!$A$10:$A$87,MATCH($B36,W1_FunctionList!$B$10:$B$87,0)),""))</f>
        <v>F-03</v>
      </c>
      <c r="B36" s="55" t="str">
        <f t="array" ref="B36">IFERROR(INDEX(W1_FunctionList!$B$10:$B$87,MATCH(18,W1_FunctionList!$R$10:$R$87,0)),"")</f>
        <v>FR-03-03</v>
      </c>
      <c r="C36" s="58" t="str">
        <f t="array" ref="C36">IF($B36="","",IFERROR(INDEX(W1_FunctionList!$C$10:$C$87,MATCH($B36,W1_FunctionList!$B$10:$B$87,0)),""))</f>
        <v>Add history entries from borrowed physical books</v>
      </c>
      <c r="D36" s="55" t="str">
        <f t="array" ref="D36">IF($B36="","",IFERROR(INDEX(W1_FunctionList!$H$10:$H$87,MATCH($B36,W1_FunctionList!$B$10:$B$87,0)),""))</f>
        <v>Should</v>
      </c>
      <c r="E36" s="63"/>
      <c r="F36" s="63"/>
      <c r="G36" s="63"/>
      <c r="H36" s="64" t="str">
        <f t="shared" si="1"/>
        <v>Should</v>
      </c>
      <c r="I36" s="66"/>
      <c r="J36" s="67" t="str">
        <f t="shared" si="2"/>
        <v>#N/A</v>
      </c>
      <c r="K36" s="68" t="str">
        <f t="shared" si="3"/>
        <v>#N/A</v>
      </c>
      <c r="L36" s="3"/>
      <c r="M36" s="3"/>
      <c r="N36" s="3"/>
      <c r="O36" s="3"/>
      <c r="P36" s="3"/>
      <c r="Q36" s="3"/>
      <c r="R36" s="3"/>
      <c r="S36" s="3"/>
      <c r="T36" s="3"/>
      <c r="U36" s="3"/>
      <c r="V36" s="3"/>
      <c r="W36" s="3"/>
      <c r="X36" s="3"/>
      <c r="Y36" s="3"/>
      <c r="Z36" s="3"/>
    </row>
    <row r="37" ht="24.0" customHeight="1">
      <c r="A37" s="55" t="str">
        <f t="array" ref="A37">IF($B37="","",IFERROR(INDEX(W1_FunctionList!$A$10:$A$87,MATCH($B37,W1_FunctionList!$B$10:$B$87,0)),""))</f>
        <v>F-03</v>
      </c>
      <c r="B37" s="55" t="str">
        <f t="array" ref="B37">IFERROR(INDEX(W1_FunctionList!$B$10:$B$87,MATCH(19,W1_FunctionList!$R$10:$R$87,0)),"")</f>
        <v>FR-03-04</v>
      </c>
      <c r="C37" s="58" t="str">
        <f t="array" ref="C37">IF($B37="","",IFERROR(INDEX(W1_FunctionList!$C$10:$C$87,MATCH($B37,W1_FunctionList!$B$10:$B$87,0)),""))</f>
        <v>Mark reading status and progress</v>
      </c>
      <c r="D37" s="55" t="str">
        <f t="array" ref="D37">IF($B37="","",IFERROR(INDEX(W1_FunctionList!$H$10:$H$87,MATCH($B37,W1_FunctionList!$B$10:$B$87,0)),""))</f>
        <v>Should</v>
      </c>
      <c r="E37" s="63"/>
      <c r="F37" s="63"/>
      <c r="G37" s="63"/>
      <c r="H37" s="64" t="str">
        <f t="shared" si="1"/>
        <v>Should</v>
      </c>
      <c r="I37" s="66"/>
      <c r="J37" s="67" t="str">
        <f t="shared" si="2"/>
        <v>#N/A</v>
      </c>
      <c r="K37" s="68" t="str">
        <f t="shared" si="3"/>
        <v>#N/A</v>
      </c>
      <c r="L37" s="3"/>
      <c r="M37" s="3"/>
      <c r="N37" s="3"/>
      <c r="O37" s="3"/>
      <c r="P37" s="3"/>
      <c r="Q37" s="3"/>
      <c r="R37" s="3"/>
      <c r="S37" s="3"/>
      <c r="T37" s="3"/>
      <c r="U37" s="3"/>
      <c r="V37" s="3"/>
      <c r="W37" s="3"/>
      <c r="X37" s="3"/>
      <c r="Y37" s="3"/>
      <c r="Z37" s="3"/>
    </row>
    <row r="38" ht="24.0" customHeight="1">
      <c r="A38" s="55" t="str">
        <f t="array" ref="A38">IF($B38="","",IFERROR(INDEX(W1_FunctionList!$A$10:$A$87,MATCH($B38,W1_FunctionList!$B$10:$B$87,0)),""))</f>
        <v>F-03</v>
      </c>
      <c r="B38" s="55" t="str">
        <f t="array" ref="B38">IFERROR(INDEX(W1_FunctionList!$B$10:$B$87,MATCH(20,W1_FunctionList!$R$10:$R$87,0)),"")</f>
        <v>FR-03-05</v>
      </c>
      <c r="C38" s="58" t="str">
        <f t="array" ref="C38">IF($B38="","",IFERROR(INDEX(W1_FunctionList!$C$10:$C$87,MATCH($B38,W1_FunctionList!$B$10:$B$87,0)),""))</f>
        <v>Set reading preferences</v>
      </c>
      <c r="D38" s="55" t="str">
        <f t="array" ref="D38">IF($B38="","",IFERROR(INDEX(W1_FunctionList!$H$10:$H$87,MATCH($B38,W1_FunctionList!$B$10:$B$87,0)),""))</f>
        <v>Could</v>
      </c>
      <c r="E38" s="63"/>
      <c r="F38" s="63"/>
      <c r="G38" s="63"/>
      <c r="H38" s="64" t="str">
        <f t="shared" si="1"/>
        <v>Could</v>
      </c>
      <c r="I38" s="66"/>
      <c r="J38" s="67" t="str">
        <f t="shared" si="2"/>
        <v>#N/A</v>
      </c>
      <c r="K38" s="68" t="str">
        <f t="shared" si="3"/>
        <v>#N/A</v>
      </c>
      <c r="L38" s="3"/>
      <c r="M38" s="3"/>
      <c r="N38" s="3"/>
      <c r="O38" s="3"/>
      <c r="P38" s="3"/>
      <c r="Q38" s="3"/>
      <c r="R38" s="3"/>
      <c r="S38" s="3"/>
      <c r="T38" s="3"/>
      <c r="U38" s="3"/>
      <c r="V38" s="3"/>
      <c r="W38" s="3"/>
      <c r="X38" s="3"/>
      <c r="Y38" s="3"/>
      <c r="Z38" s="3"/>
    </row>
    <row r="39" ht="24.0" customHeight="1">
      <c r="A39" s="55" t="str">
        <f t="array" ref="A39">IF($B39="","",IFERROR(INDEX(W1_FunctionList!$A$10:$A$87,MATCH($B39,W1_FunctionList!$B$10:$B$87,0)),""))</f>
        <v>F-03</v>
      </c>
      <c r="B39" s="55" t="str">
        <f t="array" ref="B39">IFERROR(INDEX(W1_FunctionList!$B$10:$B$87,MATCH(21,W1_FunctionList!$R$10:$R$87,0)),"")</f>
        <v>FR-03-06</v>
      </c>
      <c r="C39" s="58" t="str">
        <f t="array" ref="C39">IF($B39="","",IFERROR(INDEX(W1_FunctionList!$C$10:$C$87,MATCH($B39,W1_FunctionList!$B$10:$B$87,0)),""))</f>
        <v>Save a physical book to a personal list</v>
      </c>
      <c r="D39" s="55" t="str">
        <f t="array" ref="D39">IF($B39="","",IFERROR(INDEX(W1_FunctionList!$H$10:$H$87,MATCH($B39,W1_FunctionList!$B$10:$B$87,0)),""))</f>
        <v>Should</v>
      </c>
      <c r="E39" s="63"/>
      <c r="F39" s="63"/>
      <c r="G39" s="63"/>
      <c r="H39" s="64" t="str">
        <f t="shared" si="1"/>
        <v>Should</v>
      </c>
      <c r="I39" s="66"/>
      <c r="J39" s="67" t="str">
        <f t="shared" si="2"/>
        <v>#N/A</v>
      </c>
      <c r="K39" s="68" t="str">
        <f t="shared" si="3"/>
        <v>#N/A</v>
      </c>
      <c r="L39" s="3"/>
      <c r="M39" s="3"/>
      <c r="N39" s="3"/>
      <c r="O39" s="3"/>
      <c r="P39" s="3"/>
      <c r="Q39" s="3"/>
      <c r="R39" s="3"/>
      <c r="S39" s="3"/>
      <c r="T39" s="3"/>
      <c r="U39" s="3"/>
      <c r="V39" s="3"/>
      <c r="W39" s="3"/>
      <c r="X39" s="3"/>
      <c r="Y39" s="3"/>
      <c r="Z39" s="3"/>
    </row>
    <row r="40" ht="24.0" customHeight="1">
      <c r="A40" s="55" t="str">
        <f t="array" ref="A40">IF($B40="","",IFERROR(INDEX(W1_FunctionList!$A$10:$A$87,MATCH($B40,W1_FunctionList!$B$10:$B$87,0)),""))</f>
        <v>F-03</v>
      </c>
      <c r="B40" s="55" t="str">
        <f t="array" ref="B40">IFERROR(INDEX(W1_FunctionList!$B$10:$B$87,MATCH(22,W1_FunctionList!$R$10:$R$87,0)),"")</f>
        <v>FR-03-07</v>
      </c>
      <c r="C40" s="58" t="str">
        <f t="array" ref="C40">IF($B40="","",IFERROR(INDEX(W1_FunctionList!$C$10:$C$87,MATCH($B40,W1_FunctionList!$B$10:$B$87,0)),""))</f>
        <v>View saved books with shelf locations</v>
      </c>
      <c r="D40" s="55" t="str">
        <f t="array" ref="D40">IF($B40="","",IFERROR(INDEX(W1_FunctionList!$H$10:$H$87,MATCH($B40,W1_FunctionList!$B$10:$B$87,0)),""))</f>
        <v>Should</v>
      </c>
      <c r="E40" s="63"/>
      <c r="F40" s="63"/>
      <c r="G40" s="63"/>
      <c r="H40" s="64" t="str">
        <f t="shared" si="1"/>
        <v>Should</v>
      </c>
      <c r="I40" s="66"/>
      <c r="J40" s="67" t="str">
        <f t="shared" si="2"/>
        <v>#N/A</v>
      </c>
      <c r="K40" s="68" t="str">
        <f t="shared" si="3"/>
        <v>#N/A</v>
      </c>
      <c r="L40" s="3"/>
      <c r="M40" s="3"/>
      <c r="N40" s="3"/>
      <c r="O40" s="3"/>
      <c r="P40" s="3"/>
      <c r="Q40" s="3"/>
      <c r="R40" s="3"/>
      <c r="S40" s="3"/>
      <c r="T40" s="3"/>
      <c r="U40" s="3"/>
      <c r="V40" s="3"/>
      <c r="W40" s="3"/>
      <c r="X40" s="3"/>
      <c r="Y40" s="3"/>
      <c r="Z40" s="3"/>
    </row>
    <row r="41" ht="24.0" customHeight="1">
      <c r="A41" s="55" t="str">
        <f t="array" ref="A41">IF($B41="","",IFERROR(INDEX(W1_FunctionList!$A$10:$A$87,MATCH($B41,W1_FunctionList!$B$10:$B$87,0)),""))</f>
        <v>F-03</v>
      </c>
      <c r="B41" s="55" t="str">
        <f t="array" ref="B41">IFERROR(INDEX(W1_FunctionList!$B$10:$B$87,MATCH(23,W1_FunctionList!$R$10:$R$87,0)),"")</f>
        <v>FR-03-08</v>
      </c>
      <c r="C41" s="58" t="str">
        <f t="array" ref="C41">IF($B41="","",IFERROR(INDEX(W1_FunctionList!$C$10:$C$87,MATCH($B41,W1_FunctionList!$B$10:$B$87,0)),""))</f>
        <v>Remove a saved book</v>
      </c>
      <c r="D41" s="55" t="str">
        <f t="array" ref="D41">IF($B41="","",IFERROR(INDEX(W1_FunctionList!$H$10:$H$87,MATCH($B41,W1_FunctionList!$B$10:$B$87,0)),""))</f>
        <v>Could</v>
      </c>
      <c r="E41" s="63"/>
      <c r="F41" s="63"/>
      <c r="G41" s="63"/>
      <c r="H41" s="64" t="str">
        <f t="shared" si="1"/>
        <v>Could</v>
      </c>
      <c r="I41" s="66"/>
      <c r="J41" s="67" t="str">
        <f t="shared" si="2"/>
        <v>#N/A</v>
      </c>
      <c r="K41" s="68" t="str">
        <f t="shared" si="3"/>
        <v>#N/A</v>
      </c>
      <c r="L41" s="3"/>
      <c r="M41" s="3"/>
      <c r="N41" s="3"/>
      <c r="O41" s="3"/>
      <c r="P41" s="3"/>
      <c r="Q41" s="3"/>
      <c r="R41" s="3"/>
      <c r="S41" s="3"/>
      <c r="T41" s="3"/>
      <c r="U41" s="3"/>
      <c r="V41" s="3"/>
      <c r="W41" s="3"/>
      <c r="X41" s="3"/>
      <c r="Y41" s="3"/>
      <c r="Z41" s="3"/>
    </row>
    <row r="42" ht="24.0" customHeight="1">
      <c r="A42" s="55" t="str">
        <f t="array" ref="A42">IF($B42="","",IFERROR(INDEX(W1_FunctionList!$A$10:$A$87,MATCH($B42,W1_FunctionList!$B$10:$B$87,0)),""))</f>
        <v>F-03</v>
      </c>
      <c r="B42" s="55" t="str">
        <f t="array" ref="B42">IFERROR(INDEX(W1_FunctionList!$B$10:$B$87,MATCH(24,W1_FunctionList!$R$10:$R$87,0)),"")</f>
        <v>FR-03-09</v>
      </c>
      <c r="C42" s="58" t="str">
        <f t="array" ref="C42">IF($B42="","",IFERROR(INDEX(W1_FunctionList!$C$10:$C$87,MATCH($B42,W1_FunctionList!$B$10:$B$87,0)),""))</f>
        <v>Search books by chatting with the AI chatbot</v>
      </c>
      <c r="D42" s="55" t="str">
        <f t="array" ref="D42">IF($B42="","",IFERROR(INDEX(W1_FunctionList!$H$10:$H$87,MATCH($B42,W1_FunctionList!$B$10:$B$87,0)),""))</f>
        <v>Could</v>
      </c>
      <c r="E42" s="63"/>
      <c r="F42" s="63"/>
      <c r="G42" s="63"/>
      <c r="H42" s="64" t="str">
        <f t="shared" si="1"/>
        <v>Could</v>
      </c>
      <c r="I42" s="66"/>
      <c r="J42" s="67" t="str">
        <f t="shared" si="2"/>
        <v>#N/A</v>
      </c>
      <c r="K42" s="68" t="str">
        <f t="shared" si="3"/>
        <v>#N/A</v>
      </c>
      <c r="L42" s="3"/>
      <c r="M42" s="3"/>
      <c r="N42" s="3"/>
      <c r="O42" s="3"/>
      <c r="P42" s="3"/>
      <c r="Q42" s="3"/>
      <c r="R42" s="3"/>
      <c r="S42" s="3"/>
      <c r="T42" s="3"/>
      <c r="U42" s="3"/>
      <c r="V42" s="3"/>
      <c r="W42" s="3"/>
      <c r="X42" s="3"/>
      <c r="Y42" s="3"/>
      <c r="Z42" s="3"/>
    </row>
    <row r="43" ht="24.0" customHeight="1">
      <c r="A43" s="55" t="str">
        <f t="array" ref="A43">IF($B43="","",IFERROR(INDEX(W1_FunctionList!$A$10:$A$87,MATCH($B43,W1_FunctionList!$B$10:$B$87,0)),""))</f>
        <v>F-03</v>
      </c>
      <c r="B43" s="55" t="str">
        <f t="array" ref="B43">IFERROR(INDEX(W1_FunctionList!$B$10:$B$87,MATCH(25,W1_FunctionList!$R$10:$R$87,0)),"")</f>
        <v>FR-03-10</v>
      </c>
      <c r="C43" s="58" t="str">
        <f t="array" ref="C43">IF($B43="","",IFERROR(INDEX(W1_FunctionList!$C$10:$C$87,MATCH($B43,W1_FunctionList!$B$10:$B$87,0)),""))</f>
        <v>Save chatbot conversations per reader</v>
      </c>
      <c r="D43" s="55" t="str">
        <f t="array" ref="D43">IF($B43="","",IFERROR(INDEX(W1_FunctionList!$H$10:$H$87,MATCH($B43,W1_FunctionList!$B$10:$B$87,0)),""))</f>
        <v>Could</v>
      </c>
      <c r="E43" s="63"/>
      <c r="F43" s="63"/>
      <c r="G43" s="63"/>
      <c r="H43" s="64" t="str">
        <f t="shared" si="1"/>
        <v>Could</v>
      </c>
      <c r="I43" s="66"/>
      <c r="J43" s="67" t="str">
        <f t="shared" si="2"/>
        <v>#N/A</v>
      </c>
      <c r="K43" s="68" t="str">
        <f t="shared" si="3"/>
        <v>#N/A</v>
      </c>
      <c r="L43" s="3"/>
      <c r="M43" s="3"/>
      <c r="N43" s="3"/>
      <c r="O43" s="3"/>
      <c r="P43" s="3"/>
      <c r="Q43" s="3"/>
      <c r="R43" s="3"/>
      <c r="S43" s="3"/>
      <c r="T43" s="3"/>
      <c r="U43" s="3"/>
      <c r="V43" s="3"/>
      <c r="W43" s="3"/>
      <c r="X43" s="3"/>
      <c r="Y43" s="3"/>
      <c r="Z43" s="3"/>
    </row>
    <row r="44" ht="24.0" customHeight="1">
      <c r="A44" s="55" t="str">
        <f t="array" ref="A44">IF($B44="","",IFERROR(INDEX(W1_FunctionList!$A$10:$A$87,MATCH($B44,W1_FunctionList!$B$10:$B$87,0)),""))</f>
        <v>F-03</v>
      </c>
      <c r="B44" s="55" t="str">
        <f t="array" ref="B44">IFERROR(INDEX(W1_FunctionList!$B$10:$B$87,MATCH(26,W1_FunctionList!$R$10:$R$87,0)),"")</f>
        <v>FR-03-11</v>
      </c>
      <c r="C44" s="58" t="str">
        <f t="array" ref="C44">IF($B44="","",IFERROR(INDEX(W1_FunctionList!$C$10:$C$87,MATCH($B44,W1_FunctionList!$B$10:$B$87,0)),""))</f>
        <v>Recommend books automatically</v>
      </c>
      <c r="D44" s="55" t="str">
        <f t="array" ref="D44">IF($B44="","",IFERROR(INDEX(W1_FunctionList!$H$10:$H$87,MATCH($B44,W1_FunctionList!$B$10:$B$87,0)),""))</f>
        <v>Could</v>
      </c>
      <c r="E44" s="63"/>
      <c r="F44" s="63"/>
      <c r="G44" s="63"/>
      <c r="H44" s="64" t="str">
        <f t="shared" si="1"/>
        <v>Could</v>
      </c>
      <c r="I44" s="66"/>
      <c r="J44" s="67" t="str">
        <f t="shared" si="2"/>
        <v>#N/A</v>
      </c>
      <c r="K44" s="68" t="str">
        <f t="shared" si="3"/>
        <v>#N/A</v>
      </c>
      <c r="L44" s="3"/>
      <c r="M44" s="3"/>
      <c r="N44" s="3"/>
      <c r="O44" s="3"/>
      <c r="P44" s="3"/>
      <c r="Q44" s="3"/>
      <c r="R44" s="3"/>
      <c r="S44" s="3"/>
      <c r="T44" s="3"/>
      <c r="U44" s="3"/>
      <c r="V44" s="3"/>
      <c r="W44" s="3"/>
      <c r="X44" s="3"/>
      <c r="Y44" s="3"/>
      <c r="Z44" s="3"/>
    </row>
    <row r="45" ht="24.0" customHeight="1">
      <c r="A45" s="55" t="str">
        <f t="array" ref="A45">IF($B45="","",IFERROR(INDEX(W1_FunctionList!$A$10:$A$87,MATCH($B45,W1_FunctionList!$B$10:$B$87,0)),""))</f>
        <v>F-03</v>
      </c>
      <c r="B45" s="55" t="str">
        <f t="array" ref="B45">IFERROR(INDEX(W1_FunctionList!$B$10:$B$87,MATCH(27,W1_FunctionList!$R$10:$R$87,0)),"")</f>
        <v>FR-03-12</v>
      </c>
      <c r="C45" s="58" t="str">
        <f t="array" ref="C45">IF($B45="","",IFERROR(INDEX(W1_FunctionList!$C$10:$C$87,MATCH($B45,W1_FunctionList!$B$10:$B$87,0)),""))</f>
        <v>Filter books by access format</v>
      </c>
      <c r="D45" s="55" t="str">
        <f t="array" ref="D45">IF($B45="","",IFERROR(INDEX(W1_FunctionList!$H$10:$H$87,MATCH($B45,W1_FunctionList!$B$10:$B$87,0)),""))</f>
        <v>Should</v>
      </c>
      <c r="E45" s="63"/>
      <c r="F45" s="63"/>
      <c r="G45" s="63"/>
      <c r="H45" s="64" t="str">
        <f t="shared" si="1"/>
        <v>Should</v>
      </c>
      <c r="I45" s="66"/>
      <c r="J45" s="67" t="str">
        <f t="shared" si="2"/>
        <v>#N/A</v>
      </c>
      <c r="K45" s="68" t="str">
        <f t="shared" si="3"/>
        <v>#N/A</v>
      </c>
      <c r="L45" s="3"/>
      <c r="M45" s="3"/>
      <c r="N45" s="3"/>
      <c r="O45" s="3"/>
      <c r="P45" s="3"/>
      <c r="Q45" s="3"/>
      <c r="R45" s="3"/>
      <c r="S45" s="3"/>
      <c r="T45" s="3"/>
      <c r="U45" s="3"/>
      <c r="V45" s="3"/>
      <c r="W45" s="3"/>
      <c r="X45" s="3"/>
      <c r="Y45" s="3"/>
      <c r="Z45" s="3"/>
    </row>
    <row r="46" ht="24.0" customHeight="1">
      <c r="A46" s="55" t="str">
        <f t="array" ref="A46">IF($B46="","",IFERROR(INDEX(W1_FunctionList!$A$10:$A$87,MATCH($B46,W1_FunctionList!$B$10:$B$87,0)),""))</f>
        <v>F-03</v>
      </c>
      <c r="B46" s="55" t="str">
        <f t="array" ref="B46">IFERROR(INDEX(W1_FunctionList!$B$10:$B$87,MATCH(28,W1_FunctionList!$R$10:$R$87,0)),"")</f>
        <v>FR-03-13</v>
      </c>
      <c r="C46" s="58" t="str">
        <f t="array" ref="C46">IF($B46="","",IFERROR(INDEX(W1_FunctionList!$C$10:$C$87,MATCH($B46,W1_FunctionList!$B$10:$B$87,0)),""))</f>
        <v>Log anonymous online-book reads</v>
      </c>
      <c r="D46" s="55" t="str">
        <f t="array" ref="D46">IF($B46="","",IFERROR(INDEX(W1_FunctionList!$H$10:$H$87,MATCH($B46,W1_FunctionList!$B$10:$B$87,0)),""))</f>
        <v>Could</v>
      </c>
      <c r="E46" s="63"/>
      <c r="F46" s="63"/>
      <c r="G46" s="63"/>
      <c r="H46" s="64" t="str">
        <f t="shared" si="1"/>
        <v>Could</v>
      </c>
      <c r="I46" s="66"/>
      <c r="J46" s="67" t="str">
        <f t="shared" si="2"/>
        <v>#N/A</v>
      </c>
      <c r="K46" s="68" t="str">
        <f t="shared" si="3"/>
        <v>#N/A</v>
      </c>
      <c r="L46" s="3"/>
      <c r="M46" s="3"/>
      <c r="N46" s="3"/>
      <c r="O46" s="3"/>
      <c r="P46" s="3"/>
      <c r="Q46" s="3"/>
      <c r="R46" s="3"/>
      <c r="S46" s="3"/>
      <c r="T46" s="3"/>
      <c r="U46" s="3"/>
      <c r="V46" s="3"/>
      <c r="W46" s="3"/>
      <c r="X46" s="3"/>
      <c r="Y46" s="3"/>
      <c r="Z46" s="3"/>
    </row>
    <row r="47" ht="24.0" customHeight="1">
      <c r="A47" s="55" t="str">
        <f t="array" ref="A47">IF($B47="","",IFERROR(INDEX(W1_FunctionList!$A$10:$A$87,MATCH($B47,W1_FunctionList!$B$10:$B$87,0)),""))</f>
        <v>F-03</v>
      </c>
      <c r="B47" s="55" t="str">
        <f t="array" ref="B47">IFERROR(INDEX(W1_FunctionList!$B$10:$B$87,MATCH(29,W1_FunctionList!$R$10:$R$87,0)),"")</f>
        <v>FR-03-14</v>
      </c>
      <c r="C47" s="58" t="str">
        <f t="array" ref="C47">IF($B47="","",IFERROR(INDEX(W1_FunctionList!$C$10:$C$87,MATCH($B47,W1_FunctionList!$B$10:$B$87,0)),""))</f>
        <v>View access formats of a book</v>
      </c>
      <c r="D47" s="55" t="str">
        <f t="array" ref="D47">IF($B47="","",IFERROR(INDEX(W1_FunctionList!$H$10:$H$87,MATCH($B47,W1_FunctionList!$B$10:$B$87,0)),""))</f>
        <v>Should</v>
      </c>
      <c r="E47" s="63" t="s">
        <v>770</v>
      </c>
      <c r="F47" s="63" t="s">
        <v>771</v>
      </c>
      <c r="G47" s="63" t="s">
        <v>419</v>
      </c>
      <c r="H47" s="64" t="str">
        <f t="shared" si="1"/>
        <v>Won't</v>
      </c>
      <c r="I47" s="66" t="s">
        <v>772</v>
      </c>
      <c r="J47" s="67" t="str">
        <f t="shared" si="2"/>
        <v>#N/A</v>
      </c>
      <c r="K47" s="68" t="str">
        <f t="shared" si="3"/>
        <v>#N/A</v>
      </c>
      <c r="L47" s="3"/>
      <c r="M47" s="3"/>
      <c r="N47" s="3"/>
      <c r="O47" s="3"/>
      <c r="P47" s="3"/>
      <c r="Q47" s="3"/>
      <c r="R47" s="3"/>
      <c r="S47" s="3"/>
      <c r="T47" s="3"/>
      <c r="U47" s="3"/>
      <c r="V47" s="3"/>
      <c r="W47" s="3"/>
      <c r="X47" s="3"/>
      <c r="Y47" s="3"/>
      <c r="Z47" s="3"/>
    </row>
    <row r="48" ht="24.0" customHeight="1">
      <c r="A48" s="55" t="str">
        <f t="array" ref="A48">IF($B48="","",IFERROR(INDEX(W1_FunctionList!$A$10:$A$87,MATCH($B48,W1_FunctionList!$B$10:$B$87,0)),""))</f>
        <v>F-03</v>
      </c>
      <c r="B48" s="55" t="str">
        <f t="array" ref="B48">IFERROR(INDEX(W1_FunctionList!$B$10:$B$87,MATCH(30,W1_FunctionList!$R$10:$R$87,0)),"")</f>
        <v>FR-03-15</v>
      </c>
      <c r="C48" s="58" t="str">
        <f t="array" ref="C48">IF($B48="","",IFERROR(INDEX(W1_FunctionList!$C$10:$C$87,MATCH($B48,W1_FunctionList!$B$10:$B$87,0)),""))</f>
        <v>Download the PDF of an online book</v>
      </c>
      <c r="D48" s="55" t="str">
        <f t="array" ref="D48">IF($B48="","",IFERROR(INDEX(W1_FunctionList!$H$10:$H$87,MATCH($B48,W1_FunctionList!$B$10:$B$87,0)),""))</f>
        <v>Must</v>
      </c>
      <c r="E48" s="63" t="s">
        <v>770</v>
      </c>
      <c r="F48" s="63" t="s">
        <v>771</v>
      </c>
      <c r="G48" s="63" t="s">
        <v>419</v>
      </c>
      <c r="H48" s="64" t="str">
        <f t="shared" si="1"/>
        <v>Won't</v>
      </c>
      <c r="I48" s="66" t="s">
        <v>783</v>
      </c>
      <c r="J48" s="67" t="str">
        <f t="shared" si="2"/>
        <v>#N/A</v>
      </c>
      <c r="K48" s="68" t="str">
        <f t="shared" si="3"/>
        <v>#N/A</v>
      </c>
      <c r="L48" s="3"/>
      <c r="M48" s="3"/>
      <c r="N48" s="3"/>
      <c r="O48" s="3"/>
      <c r="P48" s="3"/>
      <c r="Q48" s="3"/>
      <c r="R48" s="3"/>
      <c r="S48" s="3"/>
      <c r="T48" s="3"/>
      <c r="U48" s="3"/>
      <c r="V48" s="3"/>
      <c r="W48" s="3"/>
      <c r="X48" s="3"/>
      <c r="Y48" s="3"/>
      <c r="Z48" s="3"/>
    </row>
    <row r="49" ht="24.0" customHeight="1">
      <c r="A49" s="55" t="str">
        <f t="array" ref="A49">IF($B49="","",IFERROR(INDEX(W1_FunctionList!$A$10:$A$87,MATCH($B49,W1_FunctionList!$B$10:$B$87,0)),""))</f>
        <v>F-04</v>
      </c>
      <c r="B49" s="55" t="str">
        <f t="array" ref="B49">IFERROR(INDEX(W1_FunctionList!$B$10:$B$87,MATCH(31,W1_FunctionList!$R$10:$R$87,0)),"")</f>
        <v>FR-04-01</v>
      </c>
      <c r="C49" s="58" t="str">
        <f t="array" ref="C49">IF($B49="","",IFERROR(INDEX(W1_FunctionList!$C$10:$C$87,MATCH($B49,W1_FunctionList!$B$10:$B$87,0)),""))</f>
        <v>Sign in with library card and email OTP</v>
      </c>
      <c r="D49" s="55" t="str">
        <f t="array" ref="D49">IF($B49="","",IFERROR(INDEX(W1_FunctionList!$H$10:$H$87,MATCH($B49,W1_FunctionList!$B$10:$B$87,0)),""))</f>
        <v>Must</v>
      </c>
      <c r="E49" s="63"/>
      <c r="F49" s="63"/>
      <c r="G49" s="63"/>
      <c r="H49" s="64" t="str">
        <f t="shared" si="1"/>
        <v>Must</v>
      </c>
      <c r="I49" s="66"/>
      <c r="J49" s="67" t="str">
        <f t="shared" si="2"/>
        <v>#N/A</v>
      </c>
      <c r="K49" s="68" t="str">
        <f t="shared" si="3"/>
        <v>#N/A</v>
      </c>
      <c r="L49" s="3"/>
      <c r="M49" s="3"/>
      <c r="N49" s="3"/>
      <c r="O49" s="3"/>
      <c r="P49" s="3"/>
      <c r="Q49" s="3"/>
      <c r="R49" s="3"/>
      <c r="S49" s="3"/>
      <c r="T49" s="3"/>
      <c r="U49" s="3"/>
      <c r="V49" s="3"/>
      <c r="W49" s="3"/>
      <c r="X49" s="3"/>
      <c r="Y49" s="3"/>
      <c r="Z49" s="3"/>
    </row>
    <row r="50" ht="24.0" customHeight="1">
      <c r="A50" s="55" t="str">
        <f t="array" ref="A50">IF($B50="","",IFERROR(INDEX(W1_FunctionList!$A$10:$A$87,MATCH($B50,W1_FunctionList!$B$10:$B$87,0)),""))</f>
        <v>F-04</v>
      </c>
      <c r="B50" s="55" t="str">
        <f t="array" ref="B50">IFERROR(INDEX(W1_FunctionList!$B$10:$B$87,MATCH(32,W1_FunctionList!$R$10:$R$87,0)),"")</f>
        <v>FR-04-02</v>
      </c>
      <c r="C50" s="58" t="str">
        <f t="array" ref="C50">IF($B50="","",IFERROR(INDEX(W1_FunctionList!$C$10:$C$87,MATCH($B50,W1_FunctionList!$B$10:$B$87,0)),""))</f>
        <v>Register or sign in with email OTP</v>
      </c>
      <c r="D50" s="55" t="str">
        <f t="array" ref="D50">IF($B50="","",IFERROR(INDEX(W1_FunctionList!$H$10:$H$87,MATCH($B50,W1_FunctionList!$B$10:$B$87,0)),""))</f>
        <v>Must</v>
      </c>
      <c r="E50" s="63" t="s">
        <v>770</v>
      </c>
      <c r="F50" s="63" t="s">
        <v>771</v>
      </c>
      <c r="G50" s="63" t="s">
        <v>419</v>
      </c>
      <c r="H50" s="64" t="str">
        <f t="shared" si="1"/>
        <v>Won't</v>
      </c>
      <c r="I50" s="66" t="s">
        <v>797</v>
      </c>
      <c r="J50" s="67" t="str">
        <f t="shared" si="2"/>
        <v>#N/A</v>
      </c>
      <c r="K50" s="68" t="str">
        <f t="shared" si="3"/>
        <v>#N/A</v>
      </c>
      <c r="L50" s="3"/>
      <c r="M50" s="3"/>
      <c r="N50" s="3"/>
      <c r="O50" s="3"/>
      <c r="P50" s="3"/>
      <c r="Q50" s="3"/>
      <c r="R50" s="3"/>
      <c r="S50" s="3"/>
      <c r="T50" s="3"/>
      <c r="U50" s="3"/>
      <c r="V50" s="3"/>
      <c r="W50" s="3"/>
      <c r="X50" s="3"/>
      <c r="Y50" s="3"/>
      <c r="Z50" s="3"/>
    </row>
    <row r="51" ht="24.0" customHeight="1">
      <c r="A51" s="55" t="str">
        <f t="array" ref="A51">IF($B51="","",IFERROR(INDEX(W1_FunctionList!$A$10:$A$87,MATCH($B51,W1_FunctionList!$B$10:$B$87,0)),""))</f>
        <v>F-04</v>
      </c>
      <c r="B51" s="55" t="str">
        <f t="array" ref="B51">IFERROR(INDEX(W1_FunctionList!$B$10:$B$87,MATCH(33,W1_FunctionList!$R$10:$R$87,0)),"")</f>
        <v>FR-04-03</v>
      </c>
      <c r="C51" s="58" t="str">
        <f t="array" ref="C51">IF($B51="","",IFERROR(INDEX(W1_FunctionList!$C$10:$C$87,MATCH($B51,W1_FunctionList!$B$10:$B$87,0)),""))</f>
        <v>Sign in with Google</v>
      </c>
      <c r="D51" s="55" t="str">
        <f t="array" ref="D51">IF($B51="","",IFERROR(INDEX(W1_FunctionList!$H$10:$H$87,MATCH($B51,W1_FunctionList!$B$10:$B$87,0)),""))</f>
        <v>Could</v>
      </c>
      <c r="E51" s="63" t="s">
        <v>770</v>
      </c>
      <c r="F51" s="63" t="s">
        <v>771</v>
      </c>
      <c r="G51" s="63" t="s">
        <v>419</v>
      </c>
      <c r="H51" s="64" t="str">
        <f t="shared" si="1"/>
        <v>Won't</v>
      </c>
      <c r="I51" s="66" t="s">
        <v>802</v>
      </c>
      <c r="J51" s="67" t="str">
        <f t="shared" si="2"/>
        <v>#N/A</v>
      </c>
      <c r="K51" s="68" t="str">
        <f t="shared" si="3"/>
        <v>#N/A</v>
      </c>
      <c r="L51" s="3"/>
      <c r="M51" s="3"/>
      <c r="N51" s="3"/>
      <c r="O51" s="3"/>
      <c r="P51" s="3"/>
      <c r="Q51" s="3"/>
      <c r="R51" s="3"/>
      <c r="S51" s="3"/>
      <c r="T51" s="3"/>
      <c r="U51" s="3"/>
      <c r="V51" s="3"/>
      <c r="W51" s="3"/>
      <c r="X51" s="3"/>
      <c r="Y51" s="3"/>
      <c r="Z51" s="3"/>
    </row>
    <row r="52" ht="24.0" customHeight="1">
      <c r="A52" s="55" t="str">
        <f t="array" ref="A52">IF($B52="","",IFERROR(INDEX(W1_FunctionList!$A$10:$A$87,MATCH($B52,W1_FunctionList!$B$10:$B$87,0)),""))</f>
        <v>F-04</v>
      </c>
      <c r="B52" s="55" t="str">
        <f t="array" ref="B52">IFERROR(INDEX(W1_FunctionList!$B$10:$B$87,MATCH(34,W1_FunctionList!$R$10:$R$87,0)),"")</f>
        <v>FR-04-04</v>
      </c>
      <c r="C52" s="58" t="str">
        <f t="array" ref="C52">IF($B52="","",IFERROR(INDEX(W1_FunctionList!$C$10:$C$87,MATCH($B52,W1_FunctionList!$B$10:$B$87,0)),""))</f>
        <v>Send and verify email OTP</v>
      </c>
      <c r="D52" s="55" t="str">
        <f t="array" ref="D52">IF($B52="","",IFERROR(INDEX(W1_FunctionList!$H$10:$H$87,MATCH($B52,W1_FunctionList!$B$10:$B$87,0)),""))</f>
        <v>Must</v>
      </c>
      <c r="E52" s="63"/>
      <c r="F52" s="63"/>
      <c r="G52" s="63"/>
      <c r="H52" s="64" t="str">
        <f t="shared" si="1"/>
        <v>Must</v>
      </c>
      <c r="I52" s="66"/>
      <c r="J52" s="67" t="str">
        <f t="shared" si="2"/>
        <v>#N/A</v>
      </c>
      <c r="K52" s="68" t="str">
        <f t="shared" si="3"/>
        <v>#N/A</v>
      </c>
      <c r="L52" s="3"/>
      <c r="M52" s="3"/>
      <c r="N52" s="3"/>
      <c r="O52" s="3"/>
      <c r="P52" s="3"/>
      <c r="Q52" s="3"/>
      <c r="R52" s="3"/>
      <c r="S52" s="3"/>
      <c r="T52" s="3"/>
      <c r="U52" s="3"/>
      <c r="V52" s="3"/>
      <c r="W52" s="3"/>
      <c r="X52" s="3"/>
      <c r="Y52" s="3"/>
      <c r="Z52" s="3"/>
    </row>
    <row r="53" ht="24.0" customHeight="1">
      <c r="A53" s="55" t="str">
        <f t="array" ref="A53">IF($B53="","",IFERROR(INDEX(W1_FunctionList!$A$10:$A$87,MATCH($B53,W1_FunctionList!$B$10:$B$87,0)),""))</f>
        <v>F-04</v>
      </c>
      <c r="B53" s="55" t="str">
        <f t="array" ref="B53">IFERROR(INDEX(W1_FunctionList!$B$10:$B$87,MATCH(35,W1_FunctionList!$R$10:$R$87,0)),"")</f>
        <v>FR-04-05</v>
      </c>
      <c r="C53" s="58" t="str">
        <f t="array" ref="C53">IF($B53="","",IFERROR(INDEX(W1_FunctionList!$C$10:$C$87,MATCH($B53,W1_FunctionList!$B$10:$B$87,0)),""))</f>
        <v>Link an online account to a library card</v>
      </c>
      <c r="D53" s="55" t="str">
        <f t="array" ref="D53">IF($B53="","",IFERROR(INDEX(W1_FunctionList!$H$10:$H$87,MATCH($B53,W1_FunctionList!$B$10:$B$87,0)),""))</f>
        <v>Could</v>
      </c>
      <c r="E53" s="63" t="s">
        <v>770</v>
      </c>
      <c r="F53" s="63" t="s">
        <v>771</v>
      </c>
      <c r="G53" s="63" t="s">
        <v>419</v>
      </c>
      <c r="H53" s="64" t="str">
        <f t="shared" si="1"/>
        <v>Won't</v>
      </c>
      <c r="I53" s="66" t="s">
        <v>821</v>
      </c>
      <c r="J53" s="67" t="str">
        <f t="shared" si="2"/>
        <v>#N/A</v>
      </c>
      <c r="K53" s="68" t="str">
        <f t="shared" si="3"/>
        <v>#N/A</v>
      </c>
      <c r="L53" s="3"/>
      <c r="M53" s="3"/>
      <c r="N53" s="3"/>
      <c r="O53" s="3"/>
      <c r="P53" s="3"/>
      <c r="Q53" s="3"/>
      <c r="R53" s="3"/>
      <c r="S53" s="3"/>
      <c r="T53" s="3"/>
      <c r="U53" s="3"/>
      <c r="V53" s="3"/>
      <c r="W53" s="3"/>
      <c r="X53" s="3"/>
      <c r="Y53" s="3"/>
      <c r="Z53" s="3"/>
    </row>
    <row r="54" ht="24.0" customHeight="1">
      <c r="A54" s="55" t="str">
        <f t="array" ref="A54">IF($B54="","",IFERROR(INDEX(W1_FunctionList!$A$10:$A$87,MATCH($B54,W1_FunctionList!$B$10:$B$87,0)),""))</f>
        <v>F-04</v>
      </c>
      <c r="B54" s="55" t="str">
        <f t="array" ref="B54">IFERROR(INDEX(W1_FunctionList!$B$10:$B$87,MATCH(36,W1_FunctionList!$R$10:$R$87,0)),"")</f>
        <v>FR-04-06</v>
      </c>
      <c r="C54" s="58" t="str">
        <f t="array" ref="C54">IF($B54="","",IFERROR(INDEX(W1_FunctionList!$C$10:$C$87,MATCH($B54,W1_FunctionList!$B$10:$B$87,0)),""))</f>
        <v>Reject linking when both profiles hold data</v>
      </c>
      <c r="D54" s="55" t="str">
        <f t="array" ref="D54">IF($B54="","",IFERROR(INDEX(W1_FunctionList!$H$10:$H$87,MATCH($B54,W1_FunctionList!$B$10:$B$87,0)),""))</f>
        <v>Could</v>
      </c>
      <c r="E54" s="63" t="s">
        <v>770</v>
      </c>
      <c r="F54" s="63" t="s">
        <v>771</v>
      </c>
      <c r="G54" s="63" t="s">
        <v>419</v>
      </c>
      <c r="H54" s="64" t="str">
        <f t="shared" si="1"/>
        <v>Won't</v>
      </c>
      <c r="I54" s="66" t="s">
        <v>831</v>
      </c>
      <c r="J54" s="67" t="str">
        <f t="shared" si="2"/>
        <v>#N/A</v>
      </c>
      <c r="K54" s="68" t="str">
        <f t="shared" si="3"/>
        <v>#N/A</v>
      </c>
      <c r="L54" s="3"/>
      <c r="M54" s="3"/>
      <c r="N54" s="3"/>
      <c r="O54" s="3"/>
      <c r="P54" s="3"/>
      <c r="Q54" s="3"/>
      <c r="R54" s="3"/>
      <c r="S54" s="3"/>
      <c r="T54" s="3"/>
      <c r="U54" s="3"/>
      <c r="V54" s="3"/>
      <c r="W54" s="3"/>
      <c r="X54" s="3"/>
      <c r="Y54" s="3"/>
      <c r="Z54" s="3"/>
    </row>
    <row r="55" ht="24.0" customHeight="1">
      <c r="A55" s="55" t="str">
        <f t="array" ref="A55">IF($B55="","",IFERROR(INDEX(W1_FunctionList!$A$10:$A$87,MATCH($B55,W1_FunctionList!$B$10:$B$87,0)),""))</f>
        <v>F-04</v>
      </c>
      <c r="B55" s="55" t="str">
        <f t="array" ref="B55">IFERROR(INDEX(W1_FunctionList!$B$10:$B$87,MATCH(37,W1_FunctionList!$R$10:$R$87,0)),"")</f>
        <v>FR-04-07</v>
      </c>
      <c r="C55" s="58" t="str">
        <f t="array" ref="C55">IF($B55="","",IFERROR(INDEX(W1_FunctionList!$C$10:$C$87,MATCH($B55,W1_FunctionList!$B$10:$B$87,0)),""))</f>
        <v>Sign in On-site Staff with internal library account</v>
      </c>
      <c r="D55" s="55" t="str">
        <f t="array" ref="D55">IF($B55="","",IFERROR(INDEX(W1_FunctionList!$H$10:$H$87,MATCH($B55,W1_FunctionList!$B$10:$B$87,0)),""))</f>
        <v>Must</v>
      </c>
      <c r="E55" s="63"/>
      <c r="F55" s="63"/>
      <c r="G55" s="63"/>
      <c r="H55" s="64" t="str">
        <f t="shared" si="1"/>
        <v>Must</v>
      </c>
      <c r="I55" s="66"/>
      <c r="J55" s="67" t="str">
        <f t="shared" si="2"/>
        <v>#N/A</v>
      </c>
      <c r="K55" s="68" t="str">
        <f t="shared" si="3"/>
        <v>#N/A</v>
      </c>
      <c r="L55" s="3"/>
      <c r="M55" s="3"/>
      <c r="N55" s="3"/>
      <c r="O55" s="3"/>
      <c r="P55" s="3"/>
      <c r="Q55" s="3"/>
      <c r="R55" s="3"/>
      <c r="S55" s="3"/>
      <c r="T55" s="3"/>
      <c r="U55" s="3"/>
      <c r="V55" s="3"/>
      <c r="W55" s="3"/>
      <c r="X55" s="3"/>
      <c r="Y55" s="3"/>
      <c r="Z55" s="3"/>
    </row>
    <row r="56" ht="24.0" customHeight="1">
      <c r="A56" s="55" t="str">
        <f t="array" ref="A56">IF($B56="","",IFERROR(INDEX(W1_FunctionList!$A$10:$A$87,MATCH($B56,W1_FunctionList!$B$10:$B$87,0)),""))</f>
        <v>F-04</v>
      </c>
      <c r="B56" s="55" t="str">
        <f t="array" ref="B56">IFERROR(INDEX(W1_FunctionList!$B$10:$B$87,MATCH(38,W1_FunctionList!$R$10:$R$87,0)),"")</f>
        <v>FR-04-08</v>
      </c>
      <c r="C56" s="58" t="str">
        <f t="array" ref="C56">IF($B56="","",IFERROR(INDEX(W1_FunctionList!$C$10:$C$87,MATCH($B56,W1_FunctionList!$B$10:$B$87,0)),""))</f>
        <v>Enforce sign-in and staff access control</v>
      </c>
      <c r="D56" s="55" t="str">
        <f t="array" ref="D56">IF($B56="","",IFERROR(INDEX(W1_FunctionList!$H$10:$H$87,MATCH($B56,W1_FunctionList!$B$10:$B$87,0)),""))</f>
        <v>Must</v>
      </c>
      <c r="E56" s="63"/>
      <c r="F56" s="63"/>
      <c r="G56" s="63"/>
      <c r="H56" s="64" t="str">
        <f t="shared" si="1"/>
        <v>Must</v>
      </c>
      <c r="I56" s="66"/>
      <c r="J56" s="67" t="str">
        <f t="shared" si="2"/>
        <v>#N/A</v>
      </c>
      <c r="K56" s="68" t="str">
        <f t="shared" si="3"/>
        <v>#N/A</v>
      </c>
      <c r="L56" s="3"/>
      <c r="M56" s="3"/>
      <c r="N56" s="3"/>
      <c r="O56" s="3"/>
      <c r="P56" s="3"/>
      <c r="Q56" s="3"/>
      <c r="R56" s="3"/>
      <c r="S56" s="3"/>
      <c r="T56" s="3"/>
      <c r="U56" s="3"/>
      <c r="V56" s="3"/>
      <c r="W56" s="3"/>
      <c r="X56" s="3"/>
      <c r="Y56" s="3"/>
      <c r="Z56" s="3"/>
    </row>
    <row r="57" ht="24.0" customHeight="1">
      <c r="A57" s="55" t="str">
        <f t="array" ref="A57">IF($B57="","",IFERROR(INDEX(W1_FunctionList!$A$10:$A$87,MATCH($B57,W1_FunctionList!$B$10:$B$87,0)),""))</f>
        <v>F-04</v>
      </c>
      <c r="B57" s="55" t="str">
        <f t="array" ref="B57">IFERROR(INDEX(W1_FunctionList!$B$10:$B$87,MATCH(39,W1_FunctionList!$R$10:$R$87,0)),"")</f>
        <v>FR-04-09</v>
      </c>
      <c r="C57" s="58" t="str">
        <f t="array" ref="C57">IF($B57="","",IFERROR(INDEX(W1_FunctionList!$C$10:$C$87,MATCH($B57,W1_FunctionList!$B$10:$B$87,0)),""))</f>
        <v>Sync catalogue, shelf placement and library layout</v>
      </c>
      <c r="D57" s="55" t="str">
        <f t="array" ref="D57">IF($B57="","",IFERROR(INDEX(W1_FunctionList!$H$10:$H$87,MATCH($B57,W1_FunctionList!$B$10:$B$87,0)),""))</f>
        <v>Must</v>
      </c>
      <c r="E57" s="63"/>
      <c r="F57" s="63"/>
      <c r="G57" s="63"/>
      <c r="H57" s="64" t="str">
        <f t="shared" si="1"/>
        <v>Must</v>
      </c>
      <c r="I57" s="66"/>
      <c r="J57" s="67" t="str">
        <f t="shared" si="2"/>
        <v>#N/A</v>
      </c>
      <c r="K57" s="68" t="str">
        <f t="shared" si="3"/>
        <v>#N/A</v>
      </c>
      <c r="L57" s="3"/>
      <c r="M57" s="3"/>
      <c r="N57" s="3"/>
      <c r="O57" s="3"/>
      <c r="P57" s="3"/>
      <c r="Q57" s="3"/>
      <c r="R57" s="3"/>
      <c r="S57" s="3"/>
      <c r="T57" s="3"/>
      <c r="U57" s="3"/>
      <c r="V57" s="3"/>
      <c r="W57" s="3"/>
      <c r="X57" s="3"/>
      <c r="Y57" s="3"/>
      <c r="Z57" s="3"/>
    </row>
    <row r="58" ht="24.0" customHeight="1">
      <c r="A58" s="55" t="str">
        <f t="array" ref="A58">IF($B58="","",IFERROR(INDEX(W1_FunctionList!$A$10:$A$87,MATCH($B58,W1_FunctionList!$B$10:$B$87,0)),""))</f>
        <v>F-04</v>
      </c>
      <c r="B58" s="55" t="str">
        <f t="array" ref="B58">IFERROR(INDEX(W1_FunctionList!$B$10:$B$87,MATCH(40,W1_FunctionList!$R$10:$R$87,0)),"")</f>
        <v>FR-04-10</v>
      </c>
      <c r="C58" s="58" t="str">
        <f t="array" ref="C58">IF($B58="","",IFERROR(INDEX(W1_FunctionList!$C$10:$C$87,MATCH($B58,W1_FunctionList!$B$10:$B$87,0)),""))</f>
        <v>Sync loan records</v>
      </c>
      <c r="D58" s="55" t="str">
        <f t="array" ref="D58">IF($B58="","",IFERROR(INDEX(W1_FunctionList!$H$10:$H$87,MATCH($B58,W1_FunctionList!$B$10:$B$87,0)),""))</f>
        <v>Must</v>
      </c>
      <c r="E58" s="63"/>
      <c r="F58" s="63"/>
      <c r="G58" s="63"/>
      <c r="H58" s="64" t="str">
        <f t="shared" si="1"/>
        <v>Must</v>
      </c>
      <c r="I58" s="66"/>
      <c r="J58" s="67" t="str">
        <f t="shared" si="2"/>
        <v>#N/A</v>
      </c>
      <c r="K58" s="68" t="str">
        <f t="shared" si="3"/>
        <v>#N/A</v>
      </c>
      <c r="L58" s="3"/>
      <c r="M58" s="3"/>
      <c r="N58" s="3"/>
      <c r="O58" s="3"/>
      <c r="P58" s="3"/>
      <c r="Q58" s="3"/>
      <c r="R58" s="3"/>
      <c r="S58" s="3"/>
      <c r="T58" s="3"/>
      <c r="U58" s="3"/>
      <c r="V58" s="3"/>
      <c r="W58" s="3"/>
      <c r="X58" s="3"/>
      <c r="Y58" s="3"/>
      <c r="Z58" s="3"/>
    </row>
    <row r="59" ht="24.0" customHeight="1">
      <c r="A59" s="55" t="str">
        <f t="array" ref="A59">IF($B59="","",IFERROR(INDEX(W1_FunctionList!$A$10:$A$87,MATCH($B59,W1_FunctionList!$B$10:$B$87,0)),""))</f>
        <v>F-04</v>
      </c>
      <c r="B59" s="55" t="str">
        <f t="array" ref="B59">IFERROR(INDEX(W1_FunctionList!$B$10:$B$87,MATCH(41,W1_FunctionList!$R$10:$R$87,0)),"")</f>
        <v>FR-04-11</v>
      </c>
      <c r="C59" s="58" t="str">
        <f t="array" ref="C59">IF($B59="","",IFERROR(INDEX(W1_FunctionList!$C$10:$C$87,MATCH($B59,W1_FunctionList!$B$10:$B$87,0)),""))</f>
        <v>Handle sync failures</v>
      </c>
      <c r="D59" s="55" t="str">
        <f t="array" ref="D59">IF($B59="","",IFERROR(INDEX(W1_FunctionList!$H$10:$H$87,MATCH($B59,W1_FunctionList!$B$10:$B$87,0)),""))</f>
        <v>Should</v>
      </c>
      <c r="E59" s="63"/>
      <c r="F59" s="63"/>
      <c r="G59" s="63"/>
      <c r="H59" s="64" t="str">
        <f t="shared" si="1"/>
        <v>Should</v>
      </c>
      <c r="I59" s="66"/>
      <c r="J59" s="67" t="str">
        <f t="shared" si="2"/>
        <v>#N/A</v>
      </c>
      <c r="K59" s="68" t="str">
        <f t="shared" si="3"/>
        <v>#N/A</v>
      </c>
      <c r="L59" s="3"/>
      <c r="M59" s="3"/>
      <c r="N59" s="3"/>
      <c r="O59" s="3"/>
      <c r="P59" s="3"/>
      <c r="Q59" s="3"/>
      <c r="R59" s="3"/>
      <c r="S59" s="3"/>
      <c r="T59" s="3"/>
      <c r="U59" s="3"/>
      <c r="V59" s="3"/>
      <c r="W59" s="3"/>
      <c r="X59" s="3"/>
      <c r="Y59" s="3"/>
      <c r="Z59" s="3"/>
    </row>
    <row r="60" ht="24.0" customHeight="1">
      <c r="A60" s="55" t="str">
        <f t="array" ref="A60">IF($B60="","",IFERROR(INDEX(W1_FunctionList!$A$10:$A$87,MATCH($B60,W1_FunctionList!$B$10:$B$87,0)),""))</f>
        <v>F-04</v>
      </c>
      <c r="B60" s="55" t="str">
        <f t="array" ref="B60">IFERROR(INDEX(W1_FunctionList!$B$10:$B$87,MATCH(42,W1_FunctionList!$R$10:$R$87,0)),"")</f>
        <v>FR-04-12</v>
      </c>
      <c r="C60" s="58" t="str">
        <f t="array" ref="C60">IF($B60="","",IFERROR(INDEX(W1_FunctionList!$C$10:$C$87,MATCH($B60,W1_FunctionList!$B$10:$B$87,0)),""))</f>
        <v>Keep an audit log</v>
      </c>
      <c r="D60" s="55" t="str">
        <f t="array" ref="D60">IF($B60="","",IFERROR(INDEX(W1_FunctionList!$H$10:$H$87,MATCH($B60,W1_FunctionList!$B$10:$B$87,0)),""))</f>
        <v>Must</v>
      </c>
      <c r="E60" s="63"/>
      <c r="F60" s="63"/>
      <c r="G60" s="63"/>
      <c r="H60" s="64" t="str">
        <f t="shared" si="1"/>
        <v>Must</v>
      </c>
      <c r="I60" s="66"/>
      <c r="J60" s="67" t="str">
        <f t="shared" si="2"/>
        <v>#N/A</v>
      </c>
      <c r="K60" s="68" t="str">
        <f t="shared" si="3"/>
        <v>#N/A</v>
      </c>
      <c r="L60" s="3"/>
      <c r="M60" s="3"/>
      <c r="N60" s="3"/>
      <c r="O60" s="3"/>
      <c r="P60" s="3"/>
      <c r="Q60" s="3"/>
      <c r="R60" s="3"/>
      <c r="S60" s="3"/>
      <c r="T60" s="3"/>
      <c r="U60" s="3"/>
      <c r="V60" s="3"/>
      <c r="W60" s="3"/>
      <c r="X60" s="3"/>
      <c r="Y60" s="3"/>
      <c r="Z60" s="3"/>
    </row>
    <row r="61" ht="24.0" customHeight="1">
      <c r="A61" s="55" t="str">
        <f t="array" ref="A61">IF($B61="","",IFERROR(INDEX(W1_FunctionList!$A$10:$A$87,MATCH($B61,W1_FunctionList!$B$10:$B$87,0)),""))</f>
        <v>F-04</v>
      </c>
      <c r="B61" s="55" t="str">
        <f t="array" ref="B61">IFERROR(INDEX(W1_FunctionList!$B$10:$B$87,MATCH(43,W1_FunctionList!$R$10:$R$87,0)),"")</f>
        <v>FR-04-13</v>
      </c>
      <c r="C61" s="58" t="str">
        <f t="array" ref="C61">IF($B61="","",IFERROR(INDEX(W1_FunctionList!$C$10:$C$87,MATCH($B61,W1_FunctionList!$B$10:$B$87,0)),""))</f>
        <v>Deploy automatically</v>
      </c>
      <c r="D61" s="55" t="str">
        <f t="array" ref="D61">IF($B61="","",IFERROR(INDEX(W1_FunctionList!$H$10:$H$87,MATCH($B61,W1_FunctionList!$B$10:$B$87,0)),""))</f>
        <v>Must</v>
      </c>
      <c r="E61" s="63"/>
      <c r="F61" s="63"/>
      <c r="G61" s="63"/>
      <c r="H61" s="64" t="str">
        <f t="shared" si="1"/>
        <v>Must</v>
      </c>
      <c r="I61" s="66"/>
      <c r="J61" s="67" t="str">
        <f t="shared" si="2"/>
        <v>#N/A</v>
      </c>
      <c r="K61" s="68" t="str">
        <f t="shared" si="3"/>
        <v>#N/A</v>
      </c>
      <c r="L61" s="3"/>
      <c r="M61" s="3"/>
      <c r="N61" s="3"/>
      <c r="O61" s="3"/>
      <c r="P61" s="3"/>
      <c r="Q61" s="3"/>
      <c r="R61" s="3"/>
      <c r="S61" s="3"/>
      <c r="T61" s="3"/>
      <c r="U61" s="3"/>
      <c r="V61" s="3"/>
      <c r="W61" s="3"/>
      <c r="X61" s="3"/>
      <c r="Y61" s="3"/>
      <c r="Z61" s="3"/>
    </row>
    <row r="62" ht="24.0" customHeight="1">
      <c r="A62" s="55" t="str">
        <f t="array" ref="A62">IF($B62="","",IFERROR(INDEX(W1_FunctionList!$A$10:$A$87,MATCH($B62,W1_FunctionList!$B$10:$B$87,0)),""))</f>
        <v>F-04</v>
      </c>
      <c r="B62" s="55" t="str">
        <f t="array" ref="B62">IFERROR(INDEX(W1_FunctionList!$B$10:$B$87,MATCH(44,W1_FunctionList!$R$10:$R$87,0)),"")</f>
        <v>FR-04-14</v>
      </c>
      <c r="C62" s="58" t="str">
        <f t="array" ref="C62">IF($B62="","",IFERROR(INDEX(W1_FunctionList!$C$10:$C$87,MATCH($B62,W1_FunctionList!$B$10:$B$87,0)),""))</f>
        <v>Run automated tests on every change</v>
      </c>
      <c r="D62" s="55" t="str">
        <f t="array" ref="D62">IF($B62="","",IFERROR(INDEX(W1_FunctionList!$H$10:$H$87,MATCH($B62,W1_FunctionList!$B$10:$B$87,0)),""))</f>
        <v>Should</v>
      </c>
      <c r="E62" s="63"/>
      <c r="F62" s="63"/>
      <c r="G62" s="63"/>
      <c r="H62" s="64" t="str">
        <f t="shared" si="1"/>
        <v>Should</v>
      </c>
      <c r="I62" s="66"/>
      <c r="J62" s="67" t="str">
        <f t="shared" si="2"/>
        <v>#N/A</v>
      </c>
      <c r="K62" s="68" t="str">
        <f t="shared" si="3"/>
        <v>#N/A</v>
      </c>
      <c r="L62" s="3"/>
      <c r="M62" s="3"/>
      <c r="N62" s="3"/>
      <c r="O62" s="3"/>
      <c r="P62" s="3"/>
      <c r="Q62" s="3"/>
      <c r="R62" s="3"/>
      <c r="S62" s="3"/>
      <c r="T62" s="3"/>
      <c r="U62" s="3"/>
      <c r="V62" s="3"/>
      <c r="W62" s="3"/>
      <c r="X62" s="3"/>
      <c r="Y62" s="3"/>
      <c r="Z62" s="3"/>
    </row>
    <row r="63" ht="24.0" customHeight="1">
      <c r="A63" s="55" t="str">
        <f t="array" ref="A63">IF($B63="","",IFERROR(INDEX(W1_FunctionList!$A$10:$A$87,MATCH($B63,W1_FunctionList!$B$10:$B$87,0)),""))</f>
        <v>F-04</v>
      </c>
      <c r="B63" s="55" t="str">
        <f t="array" ref="B63">IFERROR(INDEX(W1_FunctionList!$B$10:$B$87,MATCH(45,W1_FunctionList!$R$10:$R$87,0)),"")</f>
        <v>FR-04-15</v>
      </c>
      <c r="C63" s="58" t="str">
        <f t="array" ref="C63">IF($B63="","",IFERROR(INDEX(W1_FunctionList!$C$10:$C$87,MATCH($B63,W1_FunctionList!$B$10:$B$87,0)),""))</f>
        <v>Monitor errors and availability</v>
      </c>
      <c r="D63" s="55" t="str">
        <f t="array" ref="D63">IF($B63="","",IFERROR(INDEX(W1_FunctionList!$H$10:$H$87,MATCH($B63,W1_FunctionList!$B$10:$B$87,0)),""))</f>
        <v>Should</v>
      </c>
      <c r="E63" s="63" t="s">
        <v>770</v>
      </c>
      <c r="F63" s="63" t="s">
        <v>771</v>
      </c>
      <c r="G63" s="63" t="s">
        <v>419</v>
      </c>
      <c r="H63" s="64" t="str">
        <f t="shared" si="1"/>
        <v>Won't</v>
      </c>
      <c r="I63" s="66" t="s">
        <v>879</v>
      </c>
      <c r="J63" s="67" t="str">
        <f t="shared" si="2"/>
        <v>#N/A</v>
      </c>
      <c r="K63" s="68" t="str">
        <f t="shared" si="3"/>
        <v>#N/A</v>
      </c>
      <c r="L63" s="3"/>
      <c r="M63" s="3"/>
      <c r="N63" s="3"/>
      <c r="O63" s="3"/>
      <c r="P63" s="3"/>
      <c r="Q63" s="3"/>
      <c r="R63" s="3"/>
      <c r="S63" s="3"/>
      <c r="T63" s="3"/>
      <c r="U63" s="3"/>
      <c r="V63" s="3"/>
      <c r="W63" s="3"/>
      <c r="X63" s="3"/>
      <c r="Y63" s="3"/>
      <c r="Z63" s="3"/>
    </row>
    <row r="64" ht="24.0" customHeight="1">
      <c r="A64" s="55" t="str">
        <f t="array" ref="A64">IF($B64="","",IFERROR(INDEX(W1_FunctionList!$A$10:$A$87,MATCH($B64,W1_FunctionList!$B$10:$B$87,0)),""))</f>
        <v/>
      </c>
      <c r="B64" s="55" t="str">
        <f t="array" ref="B64">IFERROR(INDEX(W1_FunctionList!$B$10:$B$87,MATCH(46,W1_FunctionList!$R$10:$R$87,0)),"")</f>
        <v/>
      </c>
      <c r="C64" s="58" t="str">
        <f t="array" ref="C64">IF($B64="","",IFERROR(INDEX(W1_FunctionList!$C$10:$C$87,MATCH($B64,W1_FunctionList!$B$10:$B$87,0)),""))</f>
        <v/>
      </c>
      <c r="D64" s="55" t="str">
        <f t="array" ref="D64">IF($B64="","",IFERROR(INDEX(W1_FunctionList!$H$10:$H$87,MATCH($B64,W1_FunctionList!$B$10:$B$87,0)),""))</f>
        <v/>
      </c>
      <c r="E64" s="63"/>
      <c r="F64" s="63"/>
      <c r="G64" s="63"/>
      <c r="H64" s="64" t="str">
        <f t="shared" si="1"/>
        <v/>
      </c>
      <c r="I64" s="66"/>
      <c r="J64" s="67" t="str">
        <f t="shared" si="2"/>
        <v/>
      </c>
      <c r="K64" s="68" t="str">
        <f t="shared" si="3"/>
        <v/>
      </c>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11" t="s">
        <v>880</v>
      </c>
      <c r="B66" s="12"/>
      <c r="C66" s="12"/>
      <c r="D66" s="12"/>
      <c r="E66" s="12"/>
      <c r="F66" s="12"/>
      <c r="G66" s="12"/>
      <c r="H66" s="12"/>
      <c r="I66" s="12"/>
      <c r="J66" s="12"/>
      <c r="K66" s="12"/>
      <c r="L66" s="3"/>
      <c r="M66" s="3"/>
      <c r="N66" s="3"/>
      <c r="O66" s="3"/>
      <c r="P66" s="3"/>
      <c r="Q66" s="3"/>
      <c r="R66" s="3"/>
      <c r="S66" s="3"/>
      <c r="T66" s="3"/>
      <c r="U66" s="3"/>
      <c r="V66" s="3"/>
      <c r="W66" s="3"/>
      <c r="X66" s="3"/>
      <c r="Y66" s="3"/>
      <c r="Z66" s="3"/>
    </row>
    <row r="67" ht="31.5" customHeight="1">
      <c r="A67" s="13" t="s">
        <v>580</v>
      </c>
      <c r="B67" s="13" t="s">
        <v>881</v>
      </c>
      <c r="C67" s="13" t="s">
        <v>583</v>
      </c>
      <c r="D67" s="13" t="s">
        <v>882</v>
      </c>
      <c r="E67" s="13"/>
      <c r="F67" s="13"/>
      <c r="G67" s="13"/>
      <c r="H67" s="13"/>
      <c r="I67" s="13"/>
      <c r="J67" s="13"/>
      <c r="K67" s="13"/>
      <c r="L67" s="3"/>
      <c r="M67" s="3"/>
      <c r="N67" s="3"/>
      <c r="O67" s="3"/>
      <c r="P67" s="3"/>
      <c r="Q67" s="3"/>
      <c r="R67" s="3"/>
      <c r="S67" s="3"/>
      <c r="T67" s="3"/>
      <c r="U67" s="3"/>
      <c r="V67" s="3"/>
      <c r="W67" s="3"/>
      <c r="X67" s="3"/>
      <c r="Y67" s="3"/>
      <c r="Z67" s="3"/>
    </row>
    <row r="68" ht="14.25" customHeight="1">
      <c r="A68" s="47" t="s">
        <v>585</v>
      </c>
      <c r="B68" s="78" t="str">
        <f>W2_Rollup!C32</f>
        <v>#N/A</v>
      </c>
      <c r="C68" s="78">
        <f>Parameters!$B$48</f>
        <v>0.6</v>
      </c>
      <c r="D68" s="47" t="str">
        <f>IF(B68&lt;=C68,"PASS","OVER THRESHOLD")</f>
        <v>#N/A</v>
      </c>
      <c r="E68" s="3"/>
      <c r="F68" s="3"/>
      <c r="G68" s="3"/>
      <c r="H68" s="3"/>
      <c r="I68" s="3"/>
      <c r="J68" s="3"/>
      <c r="K68" s="3"/>
      <c r="L68" s="3"/>
      <c r="M68" s="3"/>
      <c r="N68" s="3"/>
      <c r="O68" s="3"/>
      <c r="P68" s="3"/>
      <c r="Q68" s="3"/>
      <c r="R68" s="3"/>
      <c r="S68" s="3"/>
      <c r="T68" s="3"/>
      <c r="U68" s="3"/>
      <c r="V68" s="3"/>
      <c r="W68" s="3"/>
      <c r="X68" s="3"/>
      <c r="Y68" s="3"/>
      <c r="Z68" s="3"/>
    </row>
    <row r="69" ht="14.25" customHeight="1">
      <c r="A69" s="47" t="s">
        <v>588</v>
      </c>
      <c r="B69" s="78" t="str">
        <f>W2_Rollup!C33</f>
        <v>#N/A</v>
      </c>
      <c r="C69" s="78">
        <f>Parameters!$B$49</f>
        <v>0.2</v>
      </c>
      <c r="D69" s="47" t="str">
        <f>IF(B69&gt;=C69*0.75,"PASS","POOL TOO THIN")</f>
        <v>#N/A</v>
      </c>
      <c r="E69" s="3"/>
      <c r="F69" s="3"/>
      <c r="G69" s="3"/>
      <c r="H69" s="3"/>
      <c r="I69" s="3"/>
      <c r="J69" s="3"/>
      <c r="K69" s="3"/>
      <c r="L69" s="3"/>
      <c r="M69" s="3"/>
      <c r="N69" s="3"/>
      <c r="O69" s="3"/>
      <c r="P69" s="3"/>
      <c r="Q69" s="3"/>
      <c r="R69" s="3"/>
      <c r="S69" s="3"/>
      <c r="T69" s="3"/>
      <c r="U69" s="3"/>
      <c r="V69" s="3"/>
      <c r="W69" s="3"/>
      <c r="X69" s="3"/>
      <c r="Y69" s="3"/>
      <c r="Z69" s="3"/>
    </row>
    <row r="70" ht="14.25" customHeight="1">
      <c r="A70" s="47" t="s">
        <v>883</v>
      </c>
      <c r="B70" s="51" t="str">
        <f>W2_Rollup!C34</f>
        <v>#N/A</v>
      </c>
      <c r="C70" s="51">
        <f>Parameters!$B$45</f>
        <v>360</v>
      </c>
      <c r="D70" s="47" t="str">
        <f>IF(B70&lt;=C70,"PASS","OVER THRESHOLD")</f>
        <v>#N/A</v>
      </c>
      <c r="E70" s="3"/>
      <c r="F70" s="3"/>
      <c r="G70" s="3"/>
      <c r="H70" s="3"/>
      <c r="I70" s="3"/>
      <c r="J70" s="3"/>
      <c r="K70" s="3"/>
      <c r="L70" s="3"/>
      <c r="M70" s="3"/>
      <c r="N70" s="3"/>
      <c r="O70" s="3"/>
      <c r="P70" s="3"/>
      <c r="Q70" s="3"/>
      <c r="R70" s="3"/>
      <c r="S70" s="3"/>
      <c r="T70" s="3"/>
      <c r="U70" s="3"/>
      <c r="V70" s="3"/>
      <c r="W70" s="3"/>
      <c r="X70" s="3"/>
      <c r="Y70" s="3"/>
      <c r="Z70" s="3"/>
    </row>
    <row r="71" ht="14.25" customHeight="1">
      <c r="A71" s="47" t="s">
        <v>884</v>
      </c>
      <c r="B71" s="175" t="str">
        <f>W2_Rollup!D27</f>
        <v>#N/A</v>
      </c>
      <c r="C71" s="176"/>
      <c r="D71" s="177" t="s">
        <v>885</v>
      </c>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12:D12"/>
    <mergeCell ref="C13:D13"/>
    <mergeCell ref="E13:G13"/>
    <mergeCell ref="C14:D14"/>
    <mergeCell ref="E14:G14"/>
    <mergeCell ref="B3:K3"/>
    <mergeCell ref="B4:K4"/>
    <mergeCell ref="B5:K5"/>
    <mergeCell ref="B6:K6"/>
    <mergeCell ref="C11:D11"/>
    <mergeCell ref="E11:G11"/>
    <mergeCell ref="E12:G12"/>
  </mergeCells>
  <dataValidations>
    <dataValidation type="list" allowBlank="1" sqref="E19:E64">
      <formula1>"R1 Must,R2 Should,R3 Could,R4 Won't"</formula1>
    </dataValidation>
    <dataValidation type="list" allowBlank="1" sqref="G19:G64">
      <formula1>"Must,Should,Could,Won't"</formula1>
    </dataValidation>
    <dataValidation type="list" allowBlank="1" sqref="F19:F64">
      <formula1>"Must-be,One-dimensional,Attractive,Indifferent"</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0"/>
    <col customWidth="1" min="2" max="2" width="73.29"/>
    <col customWidth="1" min="3" max="3" width="14.0"/>
    <col customWidth="1" min="4" max="4" width="18.0"/>
    <col customWidth="1" min="5" max="5" width="40.0"/>
    <col customWidth="1" min="6" max="6" width="8.71"/>
  </cols>
  <sheetData>
    <row r="1" ht="14.25" customHeight="1">
      <c r="A1" s="5" t="s">
        <v>473</v>
      </c>
      <c r="C1" s="4"/>
      <c r="D1" s="4"/>
      <c r="E1" s="4"/>
      <c r="F1" s="4"/>
      <c r="G1" s="4"/>
      <c r="H1" s="4"/>
      <c r="I1" s="4"/>
      <c r="J1" s="4"/>
      <c r="K1" s="4"/>
      <c r="L1" s="4"/>
      <c r="M1" s="4"/>
      <c r="N1" s="4"/>
      <c r="O1" s="4"/>
      <c r="P1" s="4"/>
      <c r="Q1" s="4"/>
      <c r="R1" s="4"/>
      <c r="S1" s="4"/>
      <c r="T1" s="4"/>
      <c r="U1" s="4"/>
      <c r="V1" s="4"/>
      <c r="W1" s="4"/>
      <c r="X1" s="4"/>
      <c r="Y1" s="4"/>
      <c r="Z1" s="4"/>
    </row>
    <row r="2" ht="14.25" customHeight="1">
      <c r="A2" s="4"/>
      <c r="B2" s="4"/>
      <c r="C2" s="4"/>
      <c r="D2" s="4"/>
      <c r="E2" s="4"/>
      <c r="F2" s="4"/>
      <c r="G2" s="4"/>
      <c r="H2" s="4"/>
      <c r="I2" s="4"/>
      <c r="J2" s="4"/>
      <c r="K2" s="4"/>
      <c r="L2" s="4"/>
      <c r="M2" s="4"/>
      <c r="N2" s="4"/>
      <c r="O2" s="4"/>
      <c r="P2" s="4"/>
      <c r="Q2" s="4"/>
      <c r="R2" s="4"/>
      <c r="S2" s="4"/>
      <c r="T2" s="4"/>
      <c r="U2" s="4"/>
      <c r="V2" s="4"/>
      <c r="W2" s="4"/>
      <c r="X2" s="4"/>
      <c r="Y2" s="4"/>
      <c r="Z2" s="4"/>
    </row>
    <row r="3" ht="24.0" customHeight="1">
      <c r="A3" s="10" t="s">
        <v>4</v>
      </c>
      <c r="B3" s="9" t="s">
        <v>474</v>
      </c>
      <c r="F3" s="4"/>
      <c r="G3" s="4"/>
      <c r="H3" s="4"/>
      <c r="I3" s="4"/>
      <c r="J3" s="4"/>
      <c r="K3" s="4"/>
      <c r="L3" s="4"/>
      <c r="M3" s="4"/>
      <c r="N3" s="4"/>
      <c r="O3" s="4"/>
      <c r="P3" s="4"/>
      <c r="Q3" s="4"/>
      <c r="R3" s="4"/>
      <c r="S3" s="4"/>
      <c r="T3" s="4"/>
      <c r="U3" s="4"/>
      <c r="V3" s="4"/>
      <c r="W3" s="4"/>
      <c r="X3" s="4"/>
      <c r="Y3" s="4"/>
      <c r="Z3" s="4"/>
    </row>
    <row r="4" ht="25.5" customHeight="1">
      <c r="A4" s="10" t="s">
        <v>9</v>
      </c>
      <c r="B4" s="9" t="s">
        <v>475</v>
      </c>
      <c r="F4" s="4"/>
      <c r="G4" s="4"/>
      <c r="H4" s="4"/>
      <c r="I4" s="4"/>
      <c r="J4" s="4"/>
      <c r="K4" s="4"/>
      <c r="L4" s="4"/>
      <c r="M4" s="4"/>
      <c r="N4" s="4"/>
      <c r="O4" s="4"/>
      <c r="P4" s="4"/>
      <c r="Q4" s="4"/>
      <c r="R4" s="4"/>
      <c r="S4" s="4"/>
      <c r="T4" s="4"/>
      <c r="U4" s="4"/>
      <c r="V4" s="4"/>
      <c r="W4" s="4"/>
      <c r="X4" s="4"/>
      <c r="Y4" s="4"/>
      <c r="Z4" s="4"/>
    </row>
    <row r="5" ht="57.75" customHeight="1">
      <c r="A5" s="10" t="s">
        <v>11</v>
      </c>
      <c r="B5" s="9" t="s">
        <v>481</v>
      </c>
      <c r="F5" s="4"/>
      <c r="G5" s="4"/>
      <c r="H5" s="4"/>
      <c r="I5" s="4"/>
      <c r="J5" s="4"/>
      <c r="K5" s="4"/>
      <c r="L5" s="4"/>
      <c r="M5" s="4"/>
      <c r="N5" s="4"/>
      <c r="O5" s="4"/>
      <c r="P5" s="4"/>
      <c r="Q5" s="4"/>
      <c r="R5" s="4"/>
      <c r="S5" s="4"/>
      <c r="T5" s="4"/>
      <c r="U5" s="4"/>
      <c r="V5" s="4"/>
      <c r="W5" s="4"/>
      <c r="X5" s="4"/>
      <c r="Y5" s="4"/>
      <c r="Z5" s="4"/>
    </row>
    <row r="6" ht="14.25" customHeight="1">
      <c r="A6" s="4"/>
      <c r="B6" s="4"/>
      <c r="C6" s="4"/>
      <c r="D6" s="4"/>
      <c r="E6" s="4"/>
      <c r="F6" s="4"/>
      <c r="G6" s="4"/>
      <c r="H6" s="4"/>
      <c r="I6" s="4"/>
      <c r="J6" s="4"/>
      <c r="K6" s="4"/>
      <c r="L6" s="4"/>
      <c r="M6" s="4"/>
      <c r="N6" s="4"/>
      <c r="O6" s="4"/>
      <c r="P6" s="4"/>
      <c r="Q6" s="4"/>
      <c r="R6" s="4"/>
      <c r="S6" s="4"/>
      <c r="T6" s="4"/>
      <c r="U6" s="4"/>
      <c r="V6" s="4"/>
      <c r="W6" s="4"/>
      <c r="X6" s="4"/>
      <c r="Y6" s="4"/>
      <c r="Z6" s="4"/>
    </row>
    <row r="7" ht="14.25" customHeight="1">
      <c r="A7" s="56" t="s">
        <v>483</v>
      </c>
      <c r="B7" s="57"/>
      <c r="C7" s="57"/>
      <c r="D7" s="57"/>
      <c r="E7" s="57"/>
      <c r="F7" s="4"/>
      <c r="G7" s="4"/>
      <c r="H7" s="4"/>
      <c r="I7" s="4"/>
      <c r="J7" s="4"/>
      <c r="K7" s="4"/>
      <c r="L7" s="4"/>
      <c r="M7" s="4"/>
      <c r="N7" s="4"/>
      <c r="O7" s="4"/>
      <c r="P7" s="4"/>
      <c r="Q7" s="4"/>
      <c r="R7" s="4"/>
      <c r="S7" s="4"/>
      <c r="T7" s="4"/>
      <c r="U7" s="4"/>
      <c r="V7" s="4"/>
      <c r="W7" s="4"/>
      <c r="X7" s="4"/>
      <c r="Y7" s="4"/>
      <c r="Z7" s="4"/>
    </row>
    <row r="8" ht="31.5" customHeight="1">
      <c r="A8" s="13" t="s">
        <v>484</v>
      </c>
      <c r="B8" s="13" t="s">
        <v>465</v>
      </c>
      <c r="C8" s="13" t="s">
        <v>466</v>
      </c>
      <c r="D8" s="13" t="s">
        <v>485</v>
      </c>
      <c r="E8" s="13"/>
      <c r="F8" s="4"/>
      <c r="G8" s="4"/>
      <c r="H8" s="4"/>
      <c r="I8" s="4"/>
      <c r="J8" s="4"/>
      <c r="K8" s="4"/>
      <c r="L8" s="4"/>
      <c r="M8" s="4"/>
      <c r="N8" s="4"/>
      <c r="O8" s="4"/>
      <c r="P8" s="4"/>
      <c r="Q8" s="4"/>
      <c r="R8" s="4"/>
      <c r="S8" s="4"/>
      <c r="T8" s="4"/>
      <c r="U8" s="4"/>
      <c r="V8" s="4"/>
      <c r="W8" s="4"/>
      <c r="X8" s="4"/>
      <c r="Y8" s="4"/>
      <c r="Z8" s="4"/>
    </row>
    <row r="9" ht="14.25" customHeight="1">
      <c r="A9" s="59" t="s">
        <v>486</v>
      </c>
      <c r="B9" s="60" t="str">
        <f>W2_Rollup!C26</f>
        <v>#N/A</v>
      </c>
      <c r="C9" s="61" t="str">
        <f>W2_Rollup!D26</f>
        <v>#N/A</v>
      </c>
      <c r="D9" s="62" t="s">
        <v>487</v>
      </c>
      <c r="E9" s="4"/>
      <c r="F9" s="4"/>
      <c r="G9" s="4"/>
      <c r="H9" s="4"/>
      <c r="I9" s="4"/>
      <c r="J9" s="4"/>
      <c r="K9" s="4"/>
      <c r="L9" s="4"/>
      <c r="M9" s="4"/>
      <c r="N9" s="4"/>
      <c r="O9" s="4"/>
      <c r="P9" s="4"/>
      <c r="Q9" s="4"/>
      <c r="R9" s="4"/>
      <c r="S9" s="4"/>
      <c r="T9" s="4"/>
      <c r="U9" s="4"/>
      <c r="V9" s="4"/>
      <c r="W9" s="4"/>
      <c r="X9" s="4"/>
      <c r="Y9" s="4"/>
      <c r="Z9" s="4"/>
    </row>
    <row r="10" ht="14.25" customHeight="1">
      <c r="A10" s="59" t="s">
        <v>488</v>
      </c>
      <c r="B10" s="60" t="str">
        <f>W2_Rollup!C27</f>
        <v>#N/A</v>
      </c>
      <c r="C10" s="61" t="str">
        <f>W2_Rollup!D27</f>
        <v>#N/A</v>
      </c>
      <c r="D10" s="62" t="s">
        <v>489</v>
      </c>
      <c r="E10" s="4"/>
      <c r="F10" s="4"/>
      <c r="G10" s="4"/>
      <c r="H10" s="4"/>
      <c r="I10" s="4"/>
      <c r="J10" s="4"/>
      <c r="K10" s="4"/>
      <c r="L10" s="4"/>
      <c r="M10" s="4"/>
      <c r="N10" s="4"/>
      <c r="O10" s="4"/>
      <c r="P10" s="4"/>
      <c r="Q10" s="4"/>
      <c r="R10" s="4"/>
      <c r="S10" s="4"/>
      <c r="T10" s="4"/>
      <c r="U10" s="4"/>
      <c r="V10" s="4"/>
      <c r="W10" s="4"/>
      <c r="X10" s="4"/>
      <c r="Y10" s="4"/>
      <c r="Z10" s="4"/>
    </row>
    <row r="11" ht="14.25" customHeight="1">
      <c r="A11" s="59" t="s">
        <v>490</v>
      </c>
      <c r="B11" s="60" t="str">
        <f>W2_Rollup!C28</f>
        <v>#N/A</v>
      </c>
      <c r="C11" s="61" t="str">
        <f>W2_Rollup!D28</f>
        <v>#N/A</v>
      </c>
      <c r="D11" s="62" t="s">
        <v>493</v>
      </c>
      <c r="E11" s="4"/>
      <c r="F11" s="4"/>
      <c r="G11" s="4"/>
      <c r="H11" s="4"/>
      <c r="I11" s="4"/>
      <c r="J11" s="4"/>
      <c r="K11" s="4"/>
      <c r="L11" s="4"/>
      <c r="M11" s="4"/>
      <c r="N11" s="4"/>
      <c r="O11" s="4"/>
      <c r="P11" s="4"/>
      <c r="Q11" s="4"/>
      <c r="R11" s="4"/>
      <c r="S11" s="4"/>
      <c r="T11" s="4"/>
      <c r="U11" s="4"/>
      <c r="V11" s="4"/>
      <c r="W11" s="4"/>
      <c r="X11" s="4"/>
      <c r="Y11" s="4"/>
      <c r="Z11" s="4"/>
    </row>
    <row r="12" ht="29.25" customHeight="1">
      <c r="A12" s="65" t="s">
        <v>494</v>
      </c>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56" t="s">
        <v>495</v>
      </c>
      <c r="B14" s="57"/>
      <c r="C14" s="57"/>
      <c r="D14" s="57"/>
      <c r="E14" s="57"/>
      <c r="F14" s="4"/>
      <c r="G14" s="4"/>
      <c r="H14" s="4"/>
      <c r="I14" s="4"/>
      <c r="J14" s="4"/>
      <c r="K14" s="4"/>
      <c r="L14" s="4"/>
      <c r="M14" s="4"/>
      <c r="N14" s="4"/>
      <c r="O14" s="4"/>
      <c r="P14" s="4"/>
      <c r="Q14" s="4"/>
      <c r="R14" s="4"/>
      <c r="S14" s="4"/>
      <c r="T14" s="4"/>
      <c r="U14" s="4"/>
      <c r="V14" s="4"/>
      <c r="W14" s="4"/>
      <c r="X14" s="4"/>
      <c r="Y14" s="4"/>
      <c r="Z14" s="4"/>
    </row>
    <row r="15" ht="31.5" customHeight="1">
      <c r="A15" s="13" t="s">
        <v>496</v>
      </c>
      <c r="B15" s="13" t="s">
        <v>497</v>
      </c>
      <c r="C15" s="13" t="s">
        <v>198</v>
      </c>
      <c r="D15" s="13"/>
      <c r="E15" s="13"/>
      <c r="F15" s="4"/>
      <c r="G15" s="4"/>
      <c r="H15" s="4"/>
      <c r="I15" s="4"/>
      <c r="J15" s="4"/>
      <c r="K15" s="4"/>
      <c r="L15" s="4"/>
      <c r="M15" s="4"/>
      <c r="N15" s="4"/>
      <c r="O15" s="4"/>
      <c r="P15" s="4"/>
      <c r="Q15" s="4"/>
      <c r="R15" s="4"/>
      <c r="S15" s="4"/>
      <c r="T15" s="4"/>
      <c r="U15" s="4"/>
      <c r="V15" s="4"/>
      <c r="W15" s="4"/>
      <c r="X15" s="4"/>
      <c r="Y15" s="4"/>
      <c r="Z15" s="4"/>
    </row>
    <row r="16" ht="14.25" customHeight="1">
      <c r="A16" s="62" t="s">
        <v>498</v>
      </c>
      <c r="B16" s="69">
        <f>Parameters!B21</f>
        <v>200000</v>
      </c>
      <c r="C16" s="70" t="s">
        <v>499</v>
      </c>
      <c r="D16" s="4"/>
      <c r="E16" s="4"/>
      <c r="F16" s="4"/>
      <c r="G16" s="4"/>
      <c r="H16" s="4"/>
      <c r="I16" s="4"/>
      <c r="J16" s="4"/>
      <c r="K16" s="4"/>
      <c r="L16" s="4"/>
      <c r="M16" s="4"/>
      <c r="N16" s="4"/>
      <c r="O16" s="4"/>
      <c r="P16" s="4"/>
      <c r="Q16" s="4"/>
      <c r="R16" s="4"/>
      <c r="S16" s="4"/>
      <c r="T16" s="4"/>
      <c r="U16" s="4"/>
      <c r="V16" s="4"/>
      <c r="W16" s="4"/>
      <c r="X16" s="4"/>
      <c r="Y16" s="4"/>
      <c r="Z16" s="4"/>
    </row>
    <row r="17" ht="14.25" customHeight="1">
      <c r="A17" s="62" t="s">
        <v>500</v>
      </c>
      <c r="B17" s="69">
        <f>Parameters!B22</f>
        <v>300000</v>
      </c>
      <c r="C17" s="70" t="s">
        <v>499</v>
      </c>
      <c r="D17" s="4"/>
      <c r="E17" s="4"/>
      <c r="F17" s="4"/>
      <c r="G17" s="4"/>
      <c r="H17" s="4"/>
      <c r="I17" s="4"/>
      <c r="J17" s="4"/>
      <c r="K17" s="4"/>
      <c r="L17" s="4"/>
      <c r="M17" s="4"/>
      <c r="N17" s="4"/>
      <c r="O17" s="4"/>
      <c r="P17" s="4"/>
      <c r="Q17" s="4"/>
      <c r="R17" s="4"/>
      <c r="S17" s="4"/>
      <c r="T17" s="4"/>
      <c r="U17" s="4"/>
      <c r="V17" s="4"/>
      <c r="W17" s="4"/>
      <c r="X17" s="4"/>
      <c r="Y17" s="4"/>
      <c r="Z17" s="4"/>
    </row>
    <row r="18" ht="14.25" customHeight="1">
      <c r="A18" s="62" t="s">
        <v>501</v>
      </c>
      <c r="B18" s="69">
        <f>Parameters!B23</f>
        <v>400000</v>
      </c>
      <c r="C18" s="70" t="s">
        <v>499</v>
      </c>
      <c r="D18" s="4"/>
      <c r="E18" s="4"/>
      <c r="F18" s="4"/>
      <c r="G18" s="4"/>
      <c r="H18" s="4"/>
      <c r="I18" s="4"/>
      <c r="J18" s="4"/>
      <c r="K18" s="4"/>
      <c r="L18" s="4"/>
      <c r="M18" s="4"/>
      <c r="N18" s="4"/>
      <c r="O18" s="4"/>
      <c r="P18" s="4"/>
      <c r="Q18" s="4"/>
      <c r="R18" s="4"/>
      <c r="S18" s="4"/>
      <c r="T18" s="4"/>
      <c r="U18" s="4"/>
      <c r="V18" s="4"/>
      <c r="W18" s="4"/>
      <c r="X18" s="4"/>
      <c r="Y18" s="4"/>
      <c r="Z18" s="4"/>
    </row>
    <row r="19" ht="14.25" customHeight="1">
      <c r="A19" s="62" t="s">
        <v>502</v>
      </c>
      <c r="B19" s="71" t="str">
        <f>Parameters!B15&amp;" / "&amp;Parameters!B16&amp;" / "&amp;Parameters!B17</f>
        <v>0.35 / 0.7 / 1</v>
      </c>
      <c r="C19" s="70" t="s">
        <v>509</v>
      </c>
      <c r="D19" s="4"/>
      <c r="E19" s="4"/>
      <c r="F19" s="4"/>
      <c r="G19" s="4"/>
      <c r="H19" s="4"/>
      <c r="I19" s="4"/>
      <c r="J19" s="4"/>
      <c r="K19" s="4"/>
      <c r="L19" s="4"/>
      <c r="M19" s="4"/>
      <c r="N19" s="4"/>
      <c r="O19" s="4"/>
      <c r="P19" s="4"/>
      <c r="Q19" s="4"/>
      <c r="R19" s="4"/>
      <c r="S19" s="4"/>
      <c r="T19" s="4"/>
      <c r="U19" s="4"/>
      <c r="V19" s="4"/>
      <c r="W19" s="4"/>
      <c r="X19" s="4"/>
      <c r="Y19" s="4"/>
      <c r="Z19" s="4"/>
    </row>
    <row r="20" ht="14.25" customHeight="1">
      <c r="A20" s="62" t="s">
        <v>510</v>
      </c>
      <c r="B20" s="71" t="str">
        <f>Parameters!B27&amp;" / "&amp;Parameters!B28</f>
        <v>0.15 / 0.4</v>
      </c>
      <c r="C20" s="70" t="s">
        <v>511</v>
      </c>
      <c r="D20" s="4"/>
      <c r="E20" s="4"/>
      <c r="F20" s="4"/>
      <c r="G20" s="4"/>
      <c r="H20" s="4"/>
      <c r="I20" s="4"/>
      <c r="J20" s="4"/>
      <c r="K20" s="4"/>
      <c r="L20" s="4"/>
      <c r="M20" s="4"/>
      <c r="N20" s="4"/>
      <c r="O20" s="4"/>
      <c r="P20" s="4"/>
      <c r="Q20" s="4"/>
      <c r="R20" s="4"/>
      <c r="S20" s="4"/>
      <c r="T20" s="4"/>
      <c r="U20" s="4"/>
      <c r="V20" s="4"/>
      <c r="W20" s="4"/>
      <c r="X20" s="4"/>
      <c r="Y20" s="4"/>
      <c r="Z20" s="4"/>
    </row>
    <row r="21" ht="14.25" customHeight="1">
      <c r="A21" s="62" t="s">
        <v>512</v>
      </c>
      <c r="B21" s="71">
        <f>Parameters!B38</f>
        <v>3</v>
      </c>
      <c r="C21" s="70" t="s">
        <v>513</v>
      </c>
      <c r="D21" s="4"/>
      <c r="E21" s="4"/>
      <c r="F21" s="4"/>
      <c r="G21" s="4"/>
      <c r="H21" s="4"/>
      <c r="I21" s="4"/>
      <c r="J21" s="4"/>
      <c r="K21" s="4"/>
      <c r="L21" s="4"/>
      <c r="M21" s="4"/>
      <c r="N21" s="4"/>
      <c r="O21" s="4"/>
      <c r="P21" s="4"/>
      <c r="Q21" s="4"/>
      <c r="R21" s="4"/>
      <c r="S21" s="4"/>
      <c r="T21" s="4"/>
      <c r="U21" s="4"/>
      <c r="V21" s="4"/>
      <c r="W21" s="4"/>
      <c r="X21" s="4"/>
      <c r="Y21" s="4"/>
      <c r="Z21" s="4"/>
    </row>
    <row r="22" ht="14.25" customHeight="1">
      <c r="A22" s="62" t="s">
        <v>514</v>
      </c>
      <c r="B22" s="71">
        <f>Parameters!B45</f>
        <v>360</v>
      </c>
      <c r="C22" s="71" t="str">
        <f>Parameters!B42&amp;" people x "&amp;Parameters!B43&amp;" weeks x "&amp;Parameters!B44&amp;" h"</f>
        <v>6 people x 12 weeks x 5 h</v>
      </c>
      <c r="D22" s="4"/>
      <c r="E22" s="4"/>
      <c r="F22" s="4"/>
      <c r="G22" s="4"/>
      <c r="H22" s="4"/>
      <c r="I22" s="4"/>
      <c r="J22" s="4"/>
      <c r="K22" s="4"/>
      <c r="L22" s="4"/>
      <c r="M22" s="4"/>
      <c r="N22" s="4"/>
      <c r="O22" s="4"/>
      <c r="P22" s="4"/>
      <c r="Q22" s="4"/>
      <c r="R22" s="4"/>
      <c r="S22" s="4"/>
      <c r="T22" s="4"/>
      <c r="U22" s="4"/>
      <c r="V22" s="4"/>
      <c r="W22" s="4"/>
      <c r="X22" s="4"/>
      <c r="Y22" s="4"/>
      <c r="Z22" s="4"/>
    </row>
    <row r="23" ht="14.25" customHeight="1">
      <c r="A23" s="62" t="s">
        <v>515</v>
      </c>
      <c r="B23" s="72">
        <v>0.1</v>
      </c>
      <c r="C23" s="70" t="s">
        <v>516</v>
      </c>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56" t="s">
        <v>517</v>
      </c>
      <c r="B25" s="57"/>
      <c r="C25" s="57"/>
      <c r="D25" s="57"/>
      <c r="E25" s="57"/>
      <c r="F25" s="4"/>
      <c r="G25" s="4"/>
      <c r="H25" s="4"/>
      <c r="I25" s="4"/>
      <c r="J25" s="4"/>
      <c r="K25" s="4"/>
      <c r="L25" s="4"/>
      <c r="M25" s="4"/>
      <c r="N25" s="4"/>
      <c r="O25" s="4"/>
      <c r="P25" s="4"/>
      <c r="Q25" s="4"/>
      <c r="R25" s="4"/>
      <c r="S25" s="4"/>
      <c r="T25" s="4"/>
      <c r="U25" s="4"/>
      <c r="V25" s="4"/>
      <c r="W25" s="4"/>
      <c r="X25" s="4"/>
      <c r="Y25" s="4"/>
      <c r="Z25" s="4"/>
    </row>
    <row r="26" ht="31.5" customHeight="1">
      <c r="A26" s="13" t="s">
        <v>73</v>
      </c>
      <c r="B26" s="13" t="s">
        <v>76</v>
      </c>
      <c r="C26" s="13" t="s">
        <v>463</v>
      </c>
      <c r="D26" s="13" t="s">
        <v>465</v>
      </c>
      <c r="E26" s="13" t="s">
        <v>520</v>
      </c>
      <c r="F26" s="4"/>
      <c r="G26" s="4"/>
      <c r="H26" s="4"/>
      <c r="I26" s="4"/>
      <c r="J26" s="4"/>
      <c r="K26" s="4"/>
      <c r="L26" s="4"/>
      <c r="M26" s="4"/>
      <c r="N26" s="4"/>
      <c r="O26" s="4"/>
      <c r="P26" s="4"/>
      <c r="Q26" s="4"/>
      <c r="R26" s="4"/>
      <c r="S26" s="4"/>
      <c r="T26" s="4"/>
      <c r="U26" s="4"/>
      <c r="V26" s="4"/>
      <c r="W26" s="4"/>
      <c r="X26" s="4"/>
      <c r="Y26" s="4"/>
      <c r="Z26" s="4"/>
    </row>
    <row r="27" ht="14.25" customHeight="1">
      <c r="A27" s="71" t="str">
        <f t="shared" ref="A27:A146" si="1">IF(W2_Costing!A9="","",W2_Costing!A9)</f>
        <v>#REF!</v>
      </c>
      <c r="B27" s="71" t="str">
        <f t="shared" ref="B27:B146" si="2">IF($A27="","",W2_Costing!D9)</f>
        <v>#REF!</v>
      </c>
      <c r="C27" s="71" t="str">
        <f t="shared" ref="C27:C146" si="3">IF($A27="","",W2_Costing!N9)</f>
        <v>#REF!</v>
      </c>
      <c r="D27" s="60" t="str">
        <f t="shared" ref="D27:D146" si="4">IF($A27="","",W2_Costing!J9)</f>
        <v>#REF!</v>
      </c>
      <c r="E27" s="62" t="str">
        <f t="shared" ref="E27:E146" si="5">IF($A27="","",IF(B27="INT",1,IF(B27="BE",2,3)))</f>
        <v>#REF!</v>
      </c>
      <c r="F27" s="4"/>
      <c r="G27" s="4"/>
      <c r="H27" s="4"/>
      <c r="I27" s="4"/>
      <c r="J27" s="4"/>
      <c r="K27" s="4"/>
      <c r="L27" s="4"/>
      <c r="M27" s="4"/>
      <c r="N27" s="4"/>
      <c r="O27" s="4"/>
      <c r="P27" s="4"/>
      <c r="Q27" s="4"/>
      <c r="R27" s="4"/>
      <c r="S27" s="4"/>
      <c r="T27" s="4"/>
      <c r="U27" s="4"/>
      <c r="V27" s="4"/>
      <c r="W27" s="4"/>
      <c r="X27" s="4"/>
      <c r="Y27" s="4"/>
      <c r="Z27" s="4"/>
    </row>
    <row r="28" ht="14.25" customHeight="1">
      <c r="A28" s="71" t="str">
        <f t="shared" si="1"/>
        <v>#REF!</v>
      </c>
      <c r="B28" s="71" t="str">
        <f t="shared" si="2"/>
        <v>#REF!</v>
      </c>
      <c r="C28" s="71" t="str">
        <f t="shared" si="3"/>
        <v>#REF!</v>
      </c>
      <c r="D28" s="60" t="str">
        <f t="shared" si="4"/>
        <v>#REF!</v>
      </c>
      <c r="E28" s="62" t="str">
        <f t="shared" si="5"/>
        <v>#REF!</v>
      </c>
      <c r="F28" s="4"/>
      <c r="G28" s="4"/>
      <c r="H28" s="4"/>
      <c r="I28" s="4"/>
      <c r="J28" s="4"/>
      <c r="K28" s="4"/>
      <c r="L28" s="4"/>
      <c r="M28" s="4"/>
      <c r="N28" s="4"/>
      <c r="O28" s="4"/>
      <c r="P28" s="4"/>
      <c r="Q28" s="4"/>
      <c r="R28" s="4"/>
      <c r="S28" s="4"/>
      <c r="T28" s="4"/>
      <c r="U28" s="4"/>
      <c r="V28" s="4"/>
      <c r="W28" s="4"/>
      <c r="X28" s="4"/>
      <c r="Y28" s="4"/>
      <c r="Z28" s="4"/>
    </row>
    <row r="29" ht="14.25" customHeight="1">
      <c r="A29" s="71" t="str">
        <f t="shared" si="1"/>
        <v>#REF!</v>
      </c>
      <c r="B29" s="71" t="str">
        <f t="shared" si="2"/>
        <v>#REF!</v>
      </c>
      <c r="C29" s="71" t="str">
        <f t="shared" si="3"/>
        <v>#REF!</v>
      </c>
      <c r="D29" s="60" t="str">
        <f t="shared" si="4"/>
        <v>#REF!</v>
      </c>
      <c r="E29" s="62" t="str">
        <f t="shared" si="5"/>
        <v>#REF!</v>
      </c>
      <c r="F29" s="4"/>
      <c r="G29" s="4"/>
      <c r="H29" s="4"/>
      <c r="I29" s="4"/>
      <c r="J29" s="4"/>
      <c r="K29" s="4"/>
      <c r="L29" s="4"/>
      <c r="M29" s="4"/>
      <c r="N29" s="4"/>
      <c r="O29" s="4"/>
      <c r="P29" s="4"/>
      <c r="Q29" s="4"/>
      <c r="R29" s="4"/>
      <c r="S29" s="4"/>
      <c r="T29" s="4"/>
      <c r="U29" s="4"/>
      <c r="V29" s="4"/>
      <c r="W29" s="4"/>
      <c r="X29" s="4"/>
      <c r="Y29" s="4"/>
      <c r="Z29" s="4"/>
    </row>
    <row r="30" ht="14.25" customHeight="1">
      <c r="A30" s="71" t="str">
        <f t="shared" si="1"/>
        <v>#REF!</v>
      </c>
      <c r="B30" s="71" t="str">
        <f t="shared" si="2"/>
        <v>#REF!</v>
      </c>
      <c r="C30" s="71" t="str">
        <f t="shared" si="3"/>
        <v>#REF!</v>
      </c>
      <c r="D30" s="60" t="str">
        <f t="shared" si="4"/>
        <v>#REF!</v>
      </c>
      <c r="E30" s="62" t="str">
        <f t="shared" si="5"/>
        <v>#REF!</v>
      </c>
      <c r="F30" s="4"/>
      <c r="G30" s="4"/>
      <c r="H30" s="4"/>
      <c r="I30" s="4"/>
      <c r="J30" s="4"/>
      <c r="K30" s="4"/>
      <c r="L30" s="4"/>
      <c r="M30" s="4"/>
      <c r="N30" s="4"/>
      <c r="O30" s="4"/>
      <c r="P30" s="4"/>
      <c r="Q30" s="4"/>
      <c r="R30" s="4"/>
      <c r="S30" s="4"/>
      <c r="T30" s="4"/>
      <c r="U30" s="4"/>
      <c r="V30" s="4"/>
      <c r="W30" s="4"/>
      <c r="X30" s="4"/>
      <c r="Y30" s="4"/>
      <c r="Z30" s="4"/>
    </row>
    <row r="31" ht="14.25" customHeight="1">
      <c r="A31" s="71" t="str">
        <f t="shared" si="1"/>
        <v>#REF!</v>
      </c>
      <c r="B31" s="71" t="str">
        <f t="shared" si="2"/>
        <v>#REF!</v>
      </c>
      <c r="C31" s="71" t="str">
        <f t="shared" si="3"/>
        <v>#REF!</v>
      </c>
      <c r="D31" s="60" t="str">
        <f t="shared" si="4"/>
        <v>#REF!</v>
      </c>
      <c r="E31" s="62" t="str">
        <f t="shared" si="5"/>
        <v>#REF!</v>
      </c>
      <c r="F31" s="4"/>
      <c r="G31" s="4"/>
      <c r="H31" s="4"/>
      <c r="I31" s="4"/>
      <c r="J31" s="4"/>
      <c r="K31" s="4"/>
      <c r="L31" s="4"/>
      <c r="M31" s="4"/>
      <c r="N31" s="4"/>
      <c r="O31" s="4"/>
      <c r="P31" s="4"/>
      <c r="Q31" s="4"/>
      <c r="R31" s="4"/>
      <c r="S31" s="4"/>
      <c r="T31" s="4"/>
      <c r="U31" s="4"/>
      <c r="V31" s="4"/>
      <c r="W31" s="4"/>
      <c r="X31" s="4"/>
      <c r="Y31" s="4"/>
      <c r="Z31" s="4"/>
    </row>
    <row r="32" ht="14.25" customHeight="1">
      <c r="A32" s="71" t="str">
        <f t="shared" si="1"/>
        <v>#REF!</v>
      </c>
      <c r="B32" s="71" t="str">
        <f t="shared" si="2"/>
        <v>#REF!</v>
      </c>
      <c r="C32" s="71" t="str">
        <f t="shared" si="3"/>
        <v>#REF!</v>
      </c>
      <c r="D32" s="60" t="str">
        <f t="shared" si="4"/>
        <v>#REF!</v>
      </c>
      <c r="E32" s="62" t="str">
        <f t="shared" si="5"/>
        <v>#REF!</v>
      </c>
      <c r="F32" s="4"/>
      <c r="G32" s="4"/>
      <c r="H32" s="4"/>
      <c r="I32" s="4"/>
      <c r="J32" s="4"/>
      <c r="K32" s="4"/>
      <c r="L32" s="4"/>
      <c r="M32" s="4"/>
      <c r="N32" s="4"/>
      <c r="O32" s="4"/>
      <c r="P32" s="4"/>
      <c r="Q32" s="4"/>
      <c r="R32" s="4"/>
      <c r="S32" s="4"/>
      <c r="T32" s="4"/>
      <c r="U32" s="4"/>
      <c r="V32" s="4"/>
      <c r="W32" s="4"/>
      <c r="X32" s="4"/>
      <c r="Y32" s="4"/>
      <c r="Z32" s="4"/>
    </row>
    <row r="33" ht="14.25" customHeight="1">
      <c r="A33" s="71" t="str">
        <f t="shared" si="1"/>
        <v>#REF!</v>
      </c>
      <c r="B33" s="71" t="str">
        <f t="shared" si="2"/>
        <v>#REF!</v>
      </c>
      <c r="C33" s="71" t="str">
        <f t="shared" si="3"/>
        <v>#REF!</v>
      </c>
      <c r="D33" s="60" t="str">
        <f t="shared" si="4"/>
        <v>#REF!</v>
      </c>
      <c r="E33" s="62" t="str">
        <f t="shared" si="5"/>
        <v>#REF!</v>
      </c>
      <c r="F33" s="4"/>
      <c r="G33" s="4"/>
      <c r="H33" s="4"/>
      <c r="I33" s="4"/>
      <c r="J33" s="4"/>
      <c r="K33" s="4"/>
      <c r="L33" s="4"/>
      <c r="M33" s="4"/>
      <c r="N33" s="4"/>
      <c r="O33" s="4"/>
      <c r="P33" s="4"/>
      <c r="Q33" s="4"/>
      <c r="R33" s="4"/>
      <c r="S33" s="4"/>
      <c r="T33" s="4"/>
      <c r="U33" s="4"/>
      <c r="V33" s="4"/>
      <c r="W33" s="4"/>
      <c r="X33" s="4"/>
      <c r="Y33" s="4"/>
      <c r="Z33" s="4"/>
    </row>
    <row r="34" ht="14.25" customHeight="1">
      <c r="A34" s="71" t="str">
        <f t="shared" si="1"/>
        <v>#REF!</v>
      </c>
      <c r="B34" s="71" t="str">
        <f t="shared" si="2"/>
        <v>#REF!</v>
      </c>
      <c r="C34" s="71" t="str">
        <f t="shared" si="3"/>
        <v>#REF!</v>
      </c>
      <c r="D34" s="60" t="str">
        <f t="shared" si="4"/>
        <v>#REF!</v>
      </c>
      <c r="E34" s="62" t="str">
        <f t="shared" si="5"/>
        <v>#REF!</v>
      </c>
      <c r="F34" s="4"/>
      <c r="G34" s="4"/>
      <c r="H34" s="4"/>
      <c r="I34" s="4"/>
      <c r="J34" s="4"/>
      <c r="K34" s="4"/>
      <c r="L34" s="4"/>
      <c r="M34" s="4"/>
      <c r="N34" s="4"/>
      <c r="O34" s="4"/>
      <c r="P34" s="4"/>
      <c r="Q34" s="4"/>
      <c r="R34" s="4"/>
      <c r="S34" s="4"/>
      <c r="T34" s="4"/>
      <c r="U34" s="4"/>
      <c r="V34" s="4"/>
      <c r="W34" s="4"/>
      <c r="X34" s="4"/>
      <c r="Y34" s="4"/>
      <c r="Z34" s="4"/>
    </row>
    <row r="35" ht="14.25" customHeight="1">
      <c r="A35" s="71" t="str">
        <f t="shared" si="1"/>
        <v>#REF!</v>
      </c>
      <c r="B35" s="71" t="str">
        <f t="shared" si="2"/>
        <v>#REF!</v>
      </c>
      <c r="C35" s="71" t="str">
        <f t="shared" si="3"/>
        <v>#REF!</v>
      </c>
      <c r="D35" s="60" t="str">
        <f t="shared" si="4"/>
        <v>#REF!</v>
      </c>
      <c r="E35" s="62" t="str">
        <f t="shared" si="5"/>
        <v>#REF!</v>
      </c>
      <c r="F35" s="4"/>
      <c r="G35" s="4"/>
      <c r="H35" s="4"/>
      <c r="I35" s="4"/>
      <c r="J35" s="4"/>
      <c r="K35" s="4"/>
      <c r="L35" s="4"/>
      <c r="M35" s="4"/>
      <c r="N35" s="4"/>
      <c r="O35" s="4"/>
      <c r="P35" s="4"/>
      <c r="Q35" s="4"/>
      <c r="R35" s="4"/>
      <c r="S35" s="4"/>
      <c r="T35" s="4"/>
      <c r="U35" s="4"/>
      <c r="V35" s="4"/>
      <c r="W35" s="4"/>
      <c r="X35" s="4"/>
      <c r="Y35" s="4"/>
      <c r="Z35" s="4"/>
    </row>
    <row r="36" ht="14.25" customHeight="1">
      <c r="A36" s="71" t="str">
        <f t="shared" si="1"/>
        <v>#REF!</v>
      </c>
      <c r="B36" s="71" t="str">
        <f t="shared" si="2"/>
        <v>#REF!</v>
      </c>
      <c r="C36" s="71" t="str">
        <f t="shared" si="3"/>
        <v>#REF!</v>
      </c>
      <c r="D36" s="60" t="str">
        <f t="shared" si="4"/>
        <v>#REF!</v>
      </c>
      <c r="E36" s="62" t="str">
        <f t="shared" si="5"/>
        <v>#REF!</v>
      </c>
      <c r="F36" s="4"/>
      <c r="G36" s="4"/>
      <c r="H36" s="4"/>
      <c r="I36" s="4"/>
      <c r="J36" s="4"/>
      <c r="K36" s="4"/>
      <c r="L36" s="4"/>
      <c r="M36" s="4"/>
      <c r="N36" s="4"/>
      <c r="O36" s="4"/>
      <c r="P36" s="4"/>
      <c r="Q36" s="4"/>
      <c r="R36" s="4"/>
      <c r="S36" s="4"/>
      <c r="T36" s="4"/>
      <c r="U36" s="4"/>
      <c r="V36" s="4"/>
      <c r="W36" s="4"/>
      <c r="X36" s="4"/>
      <c r="Y36" s="4"/>
      <c r="Z36" s="4"/>
    </row>
    <row r="37" ht="14.25" customHeight="1">
      <c r="A37" s="71" t="str">
        <f t="shared" si="1"/>
        <v>#REF!</v>
      </c>
      <c r="B37" s="71" t="str">
        <f t="shared" si="2"/>
        <v>#REF!</v>
      </c>
      <c r="C37" s="71" t="str">
        <f t="shared" si="3"/>
        <v>#REF!</v>
      </c>
      <c r="D37" s="60" t="str">
        <f t="shared" si="4"/>
        <v>#REF!</v>
      </c>
      <c r="E37" s="62" t="str">
        <f t="shared" si="5"/>
        <v>#REF!</v>
      </c>
      <c r="F37" s="4"/>
      <c r="G37" s="4"/>
      <c r="H37" s="4"/>
      <c r="I37" s="4"/>
      <c r="J37" s="4"/>
      <c r="K37" s="4"/>
      <c r="L37" s="4"/>
      <c r="M37" s="4"/>
      <c r="N37" s="4"/>
      <c r="O37" s="4"/>
      <c r="P37" s="4"/>
      <c r="Q37" s="4"/>
      <c r="R37" s="4"/>
      <c r="S37" s="4"/>
      <c r="T37" s="4"/>
      <c r="U37" s="4"/>
      <c r="V37" s="4"/>
      <c r="W37" s="4"/>
      <c r="X37" s="4"/>
      <c r="Y37" s="4"/>
      <c r="Z37" s="4"/>
    </row>
    <row r="38" ht="14.25" customHeight="1">
      <c r="A38" s="71" t="str">
        <f t="shared" si="1"/>
        <v>#REF!</v>
      </c>
      <c r="B38" s="71" t="str">
        <f t="shared" si="2"/>
        <v>#REF!</v>
      </c>
      <c r="C38" s="71" t="str">
        <f t="shared" si="3"/>
        <v>#REF!</v>
      </c>
      <c r="D38" s="60" t="str">
        <f t="shared" si="4"/>
        <v>#REF!</v>
      </c>
      <c r="E38" s="62" t="str">
        <f t="shared" si="5"/>
        <v>#REF!</v>
      </c>
      <c r="F38" s="4"/>
      <c r="G38" s="4"/>
      <c r="H38" s="4"/>
      <c r="I38" s="4"/>
      <c r="J38" s="4"/>
      <c r="K38" s="4"/>
      <c r="L38" s="4"/>
      <c r="M38" s="4"/>
      <c r="N38" s="4"/>
      <c r="O38" s="4"/>
      <c r="P38" s="4"/>
      <c r="Q38" s="4"/>
      <c r="R38" s="4"/>
      <c r="S38" s="4"/>
      <c r="T38" s="4"/>
      <c r="U38" s="4"/>
      <c r="V38" s="4"/>
      <c r="W38" s="4"/>
      <c r="X38" s="4"/>
      <c r="Y38" s="4"/>
      <c r="Z38" s="4"/>
    </row>
    <row r="39" ht="14.25" customHeight="1">
      <c r="A39" s="71" t="str">
        <f t="shared" si="1"/>
        <v>#REF!</v>
      </c>
      <c r="B39" s="71" t="str">
        <f t="shared" si="2"/>
        <v>#REF!</v>
      </c>
      <c r="C39" s="71" t="str">
        <f t="shared" si="3"/>
        <v>#REF!</v>
      </c>
      <c r="D39" s="60" t="str">
        <f t="shared" si="4"/>
        <v>#REF!</v>
      </c>
      <c r="E39" s="62" t="str">
        <f t="shared" si="5"/>
        <v>#REF!</v>
      </c>
      <c r="F39" s="4"/>
      <c r="G39" s="4"/>
      <c r="H39" s="4"/>
      <c r="I39" s="4"/>
      <c r="J39" s="4"/>
      <c r="K39" s="4"/>
      <c r="L39" s="4"/>
      <c r="M39" s="4"/>
      <c r="N39" s="4"/>
      <c r="O39" s="4"/>
      <c r="P39" s="4"/>
      <c r="Q39" s="4"/>
      <c r="R39" s="4"/>
      <c r="S39" s="4"/>
      <c r="T39" s="4"/>
      <c r="U39" s="4"/>
      <c r="V39" s="4"/>
      <c r="W39" s="4"/>
      <c r="X39" s="4"/>
      <c r="Y39" s="4"/>
      <c r="Z39" s="4"/>
    </row>
    <row r="40" ht="14.25" customHeight="1">
      <c r="A40" s="71" t="str">
        <f t="shared" si="1"/>
        <v>#REF!</v>
      </c>
      <c r="B40" s="71" t="str">
        <f t="shared" si="2"/>
        <v>#REF!</v>
      </c>
      <c r="C40" s="71" t="str">
        <f t="shared" si="3"/>
        <v>#REF!</v>
      </c>
      <c r="D40" s="60" t="str">
        <f t="shared" si="4"/>
        <v>#REF!</v>
      </c>
      <c r="E40" s="62" t="str">
        <f t="shared" si="5"/>
        <v>#REF!</v>
      </c>
      <c r="F40" s="4"/>
      <c r="G40" s="4"/>
      <c r="H40" s="4"/>
      <c r="I40" s="4"/>
      <c r="J40" s="4"/>
      <c r="K40" s="4"/>
      <c r="L40" s="4"/>
      <c r="M40" s="4"/>
      <c r="N40" s="4"/>
      <c r="O40" s="4"/>
      <c r="P40" s="4"/>
      <c r="Q40" s="4"/>
      <c r="R40" s="4"/>
      <c r="S40" s="4"/>
      <c r="T40" s="4"/>
      <c r="U40" s="4"/>
      <c r="V40" s="4"/>
      <c r="W40" s="4"/>
      <c r="X40" s="4"/>
      <c r="Y40" s="4"/>
      <c r="Z40" s="4"/>
    </row>
    <row r="41" ht="14.25" customHeight="1">
      <c r="A41" s="71" t="str">
        <f t="shared" si="1"/>
        <v>#REF!</v>
      </c>
      <c r="B41" s="71" t="str">
        <f t="shared" si="2"/>
        <v>#REF!</v>
      </c>
      <c r="C41" s="71" t="str">
        <f t="shared" si="3"/>
        <v>#REF!</v>
      </c>
      <c r="D41" s="60" t="str">
        <f t="shared" si="4"/>
        <v>#REF!</v>
      </c>
      <c r="E41" s="62" t="str">
        <f t="shared" si="5"/>
        <v>#REF!</v>
      </c>
      <c r="F41" s="4"/>
      <c r="G41" s="4"/>
      <c r="H41" s="4"/>
      <c r="I41" s="4"/>
      <c r="J41" s="4"/>
      <c r="K41" s="4"/>
      <c r="L41" s="4"/>
      <c r="M41" s="4"/>
      <c r="N41" s="4"/>
      <c r="O41" s="4"/>
      <c r="P41" s="4"/>
      <c r="Q41" s="4"/>
      <c r="R41" s="4"/>
      <c r="S41" s="4"/>
      <c r="T41" s="4"/>
      <c r="U41" s="4"/>
      <c r="V41" s="4"/>
      <c r="W41" s="4"/>
      <c r="X41" s="4"/>
      <c r="Y41" s="4"/>
      <c r="Z41" s="4"/>
    </row>
    <row r="42" ht="14.25" customHeight="1">
      <c r="A42" s="71" t="str">
        <f t="shared" si="1"/>
        <v>#REF!</v>
      </c>
      <c r="B42" s="71" t="str">
        <f t="shared" si="2"/>
        <v>#REF!</v>
      </c>
      <c r="C42" s="71" t="str">
        <f t="shared" si="3"/>
        <v>#REF!</v>
      </c>
      <c r="D42" s="60" t="str">
        <f t="shared" si="4"/>
        <v>#REF!</v>
      </c>
      <c r="E42" s="62" t="str">
        <f t="shared" si="5"/>
        <v>#REF!</v>
      </c>
      <c r="F42" s="4"/>
      <c r="G42" s="4"/>
      <c r="H42" s="4"/>
      <c r="I42" s="4"/>
      <c r="J42" s="4"/>
      <c r="K42" s="4"/>
      <c r="L42" s="4"/>
      <c r="M42" s="4"/>
      <c r="N42" s="4"/>
      <c r="O42" s="4"/>
      <c r="P42" s="4"/>
      <c r="Q42" s="4"/>
      <c r="R42" s="4"/>
      <c r="S42" s="4"/>
      <c r="T42" s="4"/>
      <c r="U42" s="4"/>
      <c r="V42" s="4"/>
      <c r="W42" s="4"/>
      <c r="X42" s="4"/>
      <c r="Y42" s="4"/>
      <c r="Z42" s="4"/>
    </row>
    <row r="43" ht="14.25" customHeight="1">
      <c r="A43" s="71" t="str">
        <f t="shared" si="1"/>
        <v>#REF!</v>
      </c>
      <c r="B43" s="71" t="str">
        <f t="shared" si="2"/>
        <v>#REF!</v>
      </c>
      <c r="C43" s="71" t="str">
        <f t="shared" si="3"/>
        <v>#REF!</v>
      </c>
      <c r="D43" s="60" t="str">
        <f t="shared" si="4"/>
        <v>#REF!</v>
      </c>
      <c r="E43" s="62" t="str">
        <f t="shared" si="5"/>
        <v>#REF!</v>
      </c>
      <c r="F43" s="4"/>
      <c r="G43" s="4"/>
      <c r="H43" s="4"/>
      <c r="I43" s="4"/>
      <c r="J43" s="4"/>
      <c r="K43" s="4"/>
      <c r="L43" s="4"/>
      <c r="M43" s="4"/>
      <c r="N43" s="4"/>
      <c r="O43" s="4"/>
      <c r="P43" s="4"/>
      <c r="Q43" s="4"/>
      <c r="R43" s="4"/>
      <c r="S43" s="4"/>
      <c r="T43" s="4"/>
      <c r="U43" s="4"/>
      <c r="V43" s="4"/>
      <c r="W43" s="4"/>
      <c r="X43" s="4"/>
      <c r="Y43" s="4"/>
      <c r="Z43" s="4"/>
    </row>
    <row r="44" ht="14.25" customHeight="1">
      <c r="A44" s="71" t="str">
        <f t="shared" si="1"/>
        <v>#REF!</v>
      </c>
      <c r="B44" s="71" t="str">
        <f t="shared" si="2"/>
        <v>#REF!</v>
      </c>
      <c r="C44" s="71" t="str">
        <f t="shared" si="3"/>
        <v>#REF!</v>
      </c>
      <c r="D44" s="60" t="str">
        <f t="shared" si="4"/>
        <v>#REF!</v>
      </c>
      <c r="E44" s="62" t="str">
        <f t="shared" si="5"/>
        <v>#REF!</v>
      </c>
      <c r="F44" s="4"/>
      <c r="G44" s="4"/>
      <c r="H44" s="4"/>
      <c r="I44" s="4"/>
      <c r="J44" s="4"/>
      <c r="K44" s="4"/>
      <c r="L44" s="4"/>
      <c r="M44" s="4"/>
      <c r="N44" s="4"/>
      <c r="O44" s="4"/>
      <c r="P44" s="4"/>
      <c r="Q44" s="4"/>
      <c r="R44" s="4"/>
      <c r="S44" s="4"/>
      <c r="T44" s="4"/>
      <c r="U44" s="4"/>
      <c r="V44" s="4"/>
      <c r="W44" s="4"/>
      <c r="X44" s="4"/>
      <c r="Y44" s="4"/>
      <c r="Z44" s="4"/>
    </row>
    <row r="45" ht="14.25" customHeight="1">
      <c r="A45" s="71" t="str">
        <f t="shared" si="1"/>
        <v>#REF!</v>
      </c>
      <c r="B45" s="71" t="str">
        <f t="shared" si="2"/>
        <v>#REF!</v>
      </c>
      <c r="C45" s="71" t="str">
        <f t="shared" si="3"/>
        <v>#REF!</v>
      </c>
      <c r="D45" s="60" t="str">
        <f t="shared" si="4"/>
        <v>#REF!</v>
      </c>
      <c r="E45" s="62" t="str">
        <f t="shared" si="5"/>
        <v>#REF!</v>
      </c>
      <c r="F45" s="4"/>
      <c r="G45" s="4"/>
      <c r="H45" s="4"/>
      <c r="I45" s="4"/>
      <c r="J45" s="4"/>
      <c r="K45" s="4"/>
      <c r="L45" s="4"/>
      <c r="M45" s="4"/>
      <c r="N45" s="4"/>
      <c r="O45" s="4"/>
      <c r="P45" s="4"/>
      <c r="Q45" s="4"/>
      <c r="R45" s="4"/>
      <c r="S45" s="4"/>
      <c r="T45" s="4"/>
      <c r="U45" s="4"/>
      <c r="V45" s="4"/>
      <c r="W45" s="4"/>
      <c r="X45" s="4"/>
      <c r="Y45" s="4"/>
      <c r="Z45" s="4"/>
    </row>
    <row r="46" ht="14.25" customHeight="1">
      <c r="A46" s="71" t="str">
        <f t="shared" si="1"/>
        <v>#REF!</v>
      </c>
      <c r="B46" s="71" t="str">
        <f t="shared" si="2"/>
        <v>#REF!</v>
      </c>
      <c r="C46" s="71" t="str">
        <f t="shared" si="3"/>
        <v>#REF!</v>
      </c>
      <c r="D46" s="60" t="str">
        <f t="shared" si="4"/>
        <v>#REF!</v>
      </c>
      <c r="E46" s="62" t="str">
        <f t="shared" si="5"/>
        <v>#REF!</v>
      </c>
      <c r="F46" s="4"/>
      <c r="G46" s="4"/>
      <c r="H46" s="4"/>
      <c r="I46" s="4"/>
      <c r="J46" s="4"/>
      <c r="K46" s="4"/>
      <c r="L46" s="4"/>
      <c r="M46" s="4"/>
      <c r="N46" s="4"/>
      <c r="O46" s="4"/>
      <c r="P46" s="4"/>
      <c r="Q46" s="4"/>
      <c r="R46" s="4"/>
      <c r="S46" s="4"/>
      <c r="T46" s="4"/>
      <c r="U46" s="4"/>
      <c r="V46" s="4"/>
      <c r="W46" s="4"/>
      <c r="X46" s="4"/>
      <c r="Y46" s="4"/>
      <c r="Z46" s="4"/>
    </row>
    <row r="47" ht="14.25" customHeight="1">
      <c r="A47" s="71" t="str">
        <f t="shared" si="1"/>
        <v>#REF!</v>
      </c>
      <c r="B47" s="71" t="str">
        <f t="shared" si="2"/>
        <v>#REF!</v>
      </c>
      <c r="C47" s="71" t="str">
        <f t="shared" si="3"/>
        <v>#REF!</v>
      </c>
      <c r="D47" s="60" t="str">
        <f t="shared" si="4"/>
        <v>#REF!</v>
      </c>
      <c r="E47" s="62" t="str">
        <f t="shared" si="5"/>
        <v>#REF!</v>
      </c>
      <c r="F47" s="4"/>
      <c r="G47" s="4"/>
      <c r="H47" s="4"/>
      <c r="I47" s="4"/>
      <c r="J47" s="4"/>
      <c r="K47" s="4"/>
      <c r="L47" s="4"/>
      <c r="M47" s="4"/>
      <c r="N47" s="4"/>
      <c r="O47" s="4"/>
      <c r="P47" s="4"/>
      <c r="Q47" s="4"/>
      <c r="R47" s="4"/>
      <c r="S47" s="4"/>
      <c r="T47" s="4"/>
      <c r="U47" s="4"/>
      <c r="V47" s="4"/>
      <c r="W47" s="4"/>
      <c r="X47" s="4"/>
      <c r="Y47" s="4"/>
      <c r="Z47" s="4"/>
    </row>
    <row r="48" ht="14.25" customHeight="1">
      <c r="A48" s="71" t="str">
        <f t="shared" si="1"/>
        <v>#REF!</v>
      </c>
      <c r="B48" s="71" t="str">
        <f t="shared" si="2"/>
        <v>#REF!</v>
      </c>
      <c r="C48" s="71" t="str">
        <f t="shared" si="3"/>
        <v>#REF!</v>
      </c>
      <c r="D48" s="60" t="str">
        <f t="shared" si="4"/>
        <v>#REF!</v>
      </c>
      <c r="E48" s="62" t="str">
        <f t="shared" si="5"/>
        <v>#REF!</v>
      </c>
      <c r="F48" s="4"/>
      <c r="G48" s="4"/>
      <c r="H48" s="4"/>
      <c r="I48" s="4"/>
      <c r="J48" s="4"/>
      <c r="K48" s="4"/>
      <c r="L48" s="4"/>
      <c r="M48" s="4"/>
      <c r="N48" s="4"/>
      <c r="O48" s="4"/>
      <c r="P48" s="4"/>
      <c r="Q48" s="4"/>
      <c r="R48" s="4"/>
      <c r="S48" s="4"/>
      <c r="T48" s="4"/>
      <c r="U48" s="4"/>
      <c r="V48" s="4"/>
      <c r="W48" s="4"/>
      <c r="X48" s="4"/>
      <c r="Y48" s="4"/>
      <c r="Z48" s="4"/>
    </row>
    <row r="49" ht="14.25" customHeight="1">
      <c r="A49" s="71" t="str">
        <f t="shared" si="1"/>
        <v>#REF!</v>
      </c>
      <c r="B49" s="71" t="str">
        <f t="shared" si="2"/>
        <v>#REF!</v>
      </c>
      <c r="C49" s="71" t="str">
        <f t="shared" si="3"/>
        <v>#REF!</v>
      </c>
      <c r="D49" s="60" t="str">
        <f t="shared" si="4"/>
        <v>#REF!</v>
      </c>
      <c r="E49" s="62" t="str">
        <f t="shared" si="5"/>
        <v>#REF!</v>
      </c>
      <c r="F49" s="4"/>
      <c r="G49" s="4"/>
      <c r="H49" s="4"/>
      <c r="I49" s="4"/>
      <c r="J49" s="4"/>
      <c r="K49" s="4"/>
      <c r="L49" s="4"/>
      <c r="M49" s="4"/>
      <c r="N49" s="4"/>
      <c r="O49" s="4"/>
      <c r="P49" s="4"/>
      <c r="Q49" s="4"/>
      <c r="R49" s="4"/>
      <c r="S49" s="4"/>
      <c r="T49" s="4"/>
      <c r="U49" s="4"/>
      <c r="V49" s="4"/>
      <c r="W49" s="4"/>
      <c r="X49" s="4"/>
      <c r="Y49" s="4"/>
      <c r="Z49" s="4"/>
    </row>
    <row r="50" ht="14.25" customHeight="1">
      <c r="A50" s="71" t="str">
        <f t="shared" si="1"/>
        <v>#REF!</v>
      </c>
      <c r="B50" s="71" t="str">
        <f t="shared" si="2"/>
        <v>#REF!</v>
      </c>
      <c r="C50" s="71" t="str">
        <f t="shared" si="3"/>
        <v>#REF!</v>
      </c>
      <c r="D50" s="60" t="str">
        <f t="shared" si="4"/>
        <v>#REF!</v>
      </c>
      <c r="E50" s="62" t="str">
        <f t="shared" si="5"/>
        <v>#REF!</v>
      </c>
      <c r="F50" s="4"/>
      <c r="G50" s="4"/>
      <c r="H50" s="4"/>
      <c r="I50" s="4"/>
      <c r="J50" s="4"/>
      <c r="K50" s="4"/>
      <c r="L50" s="4"/>
      <c r="M50" s="4"/>
      <c r="N50" s="4"/>
      <c r="O50" s="4"/>
      <c r="P50" s="4"/>
      <c r="Q50" s="4"/>
      <c r="R50" s="4"/>
      <c r="S50" s="4"/>
      <c r="T50" s="4"/>
      <c r="U50" s="4"/>
      <c r="V50" s="4"/>
      <c r="W50" s="4"/>
      <c r="X50" s="4"/>
      <c r="Y50" s="4"/>
      <c r="Z50" s="4"/>
    </row>
    <row r="51" ht="14.25" customHeight="1">
      <c r="A51" s="71" t="str">
        <f t="shared" si="1"/>
        <v>#REF!</v>
      </c>
      <c r="B51" s="71" t="str">
        <f t="shared" si="2"/>
        <v>#REF!</v>
      </c>
      <c r="C51" s="71" t="str">
        <f t="shared" si="3"/>
        <v>#REF!</v>
      </c>
      <c r="D51" s="60" t="str">
        <f t="shared" si="4"/>
        <v>#REF!</v>
      </c>
      <c r="E51" s="62" t="str">
        <f t="shared" si="5"/>
        <v>#REF!</v>
      </c>
      <c r="F51" s="4"/>
      <c r="G51" s="4"/>
      <c r="H51" s="4"/>
      <c r="I51" s="4"/>
      <c r="J51" s="4"/>
      <c r="K51" s="4"/>
      <c r="L51" s="4"/>
      <c r="M51" s="4"/>
      <c r="N51" s="4"/>
      <c r="O51" s="4"/>
      <c r="P51" s="4"/>
      <c r="Q51" s="4"/>
      <c r="R51" s="4"/>
      <c r="S51" s="4"/>
      <c r="T51" s="4"/>
      <c r="U51" s="4"/>
      <c r="V51" s="4"/>
      <c r="W51" s="4"/>
      <c r="X51" s="4"/>
      <c r="Y51" s="4"/>
      <c r="Z51" s="4"/>
    </row>
    <row r="52" ht="14.25" customHeight="1">
      <c r="A52" s="71" t="str">
        <f t="shared" si="1"/>
        <v>#REF!</v>
      </c>
      <c r="B52" s="71" t="str">
        <f t="shared" si="2"/>
        <v>#REF!</v>
      </c>
      <c r="C52" s="71" t="str">
        <f t="shared" si="3"/>
        <v>#REF!</v>
      </c>
      <c r="D52" s="60" t="str">
        <f t="shared" si="4"/>
        <v>#REF!</v>
      </c>
      <c r="E52" s="62" t="str">
        <f t="shared" si="5"/>
        <v>#REF!</v>
      </c>
      <c r="F52" s="4"/>
      <c r="G52" s="4"/>
      <c r="H52" s="4"/>
      <c r="I52" s="4"/>
      <c r="J52" s="4"/>
      <c r="K52" s="4"/>
      <c r="L52" s="4"/>
      <c r="M52" s="4"/>
      <c r="N52" s="4"/>
      <c r="O52" s="4"/>
      <c r="P52" s="4"/>
      <c r="Q52" s="4"/>
      <c r="R52" s="4"/>
      <c r="S52" s="4"/>
      <c r="T52" s="4"/>
      <c r="U52" s="4"/>
      <c r="V52" s="4"/>
      <c r="W52" s="4"/>
      <c r="X52" s="4"/>
      <c r="Y52" s="4"/>
      <c r="Z52" s="4"/>
    </row>
    <row r="53" ht="14.25" customHeight="1">
      <c r="A53" s="71" t="str">
        <f t="shared" si="1"/>
        <v>#REF!</v>
      </c>
      <c r="B53" s="71" t="str">
        <f t="shared" si="2"/>
        <v>#REF!</v>
      </c>
      <c r="C53" s="71" t="str">
        <f t="shared" si="3"/>
        <v>#REF!</v>
      </c>
      <c r="D53" s="60" t="str">
        <f t="shared" si="4"/>
        <v>#REF!</v>
      </c>
      <c r="E53" s="62" t="str">
        <f t="shared" si="5"/>
        <v>#REF!</v>
      </c>
      <c r="F53" s="4"/>
      <c r="G53" s="4"/>
      <c r="H53" s="4"/>
      <c r="I53" s="4"/>
      <c r="J53" s="4"/>
      <c r="K53" s="4"/>
      <c r="L53" s="4"/>
      <c r="M53" s="4"/>
      <c r="N53" s="4"/>
      <c r="O53" s="4"/>
      <c r="P53" s="4"/>
      <c r="Q53" s="4"/>
      <c r="R53" s="4"/>
      <c r="S53" s="4"/>
      <c r="T53" s="4"/>
      <c r="U53" s="4"/>
      <c r="V53" s="4"/>
      <c r="W53" s="4"/>
      <c r="X53" s="4"/>
      <c r="Y53" s="4"/>
      <c r="Z53" s="4"/>
    </row>
    <row r="54" ht="14.25" customHeight="1">
      <c r="A54" s="71" t="str">
        <f t="shared" si="1"/>
        <v>#REF!</v>
      </c>
      <c r="B54" s="71" t="str">
        <f t="shared" si="2"/>
        <v>#REF!</v>
      </c>
      <c r="C54" s="71" t="str">
        <f t="shared" si="3"/>
        <v>#REF!</v>
      </c>
      <c r="D54" s="60" t="str">
        <f t="shared" si="4"/>
        <v>#REF!</v>
      </c>
      <c r="E54" s="62" t="str">
        <f t="shared" si="5"/>
        <v>#REF!</v>
      </c>
      <c r="F54" s="4"/>
      <c r="G54" s="4"/>
      <c r="H54" s="4"/>
      <c r="I54" s="4"/>
      <c r="J54" s="4"/>
      <c r="K54" s="4"/>
      <c r="L54" s="4"/>
      <c r="M54" s="4"/>
      <c r="N54" s="4"/>
      <c r="O54" s="4"/>
      <c r="P54" s="4"/>
      <c r="Q54" s="4"/>
      <c r="R54" s="4"/>
      <c r="S54" s="4"/>
      <c r="T54" s="4"/>
      <c r="U54" s="4"/>
      <c r="V54" s="4"/>
      <c r="W54" s="4"/>
      <c r="X54" s="4"/>
      <c r="Y54" s="4"/>
      <c r="Z54" s="4"/>
    </row>
    <row r="55" ht="14.25" customHeight="1">
      <c r="A55" s="71" t="str">
        <f t="shared" si="1"/>
        <v>#REF!</v>
      </c>
      <c r="B55" s="71" t="str">
        <f t="shared" si="2"/>
        <v>#REF!</v>
      </c>
      <c r="C55" s="71" t="str">
        <f t="shared" si="3"/>
        <v>#REF!</v>
      </c>
      <c r="D55" s="60" t="str">
        <f t="shared" si="4"/>
        <v>#REF!</v>
      </c>
      <c r="E55" s="62" t="str">
        <f t="shared" si="5"/>
        <v>#REF!</v>
      </c>
      <c r="F55" s="4"/>
      <c r="G55" s="4"/>
      <c r="H55" s="4"/>
      <c r="I55" s="4"/>
      <c r="J55" s="4"/>
      <c r="K55" s="4"/>
      <c r="L55" s="4"/>
      <c r="M55" s="4"/>
      <c r="N55" s="4"/>
      <c r="O55" s="4"/>
      <c r="P55" s="4"/>
      <c r="Q55" s="4"/>
      <c r="R55" s="4"/>
      <c r="S55" s="4"/>
      <c r="T55" s="4"/>
      <c r="U55" s="4"/>
      <c r="V55" s="4"/>
      <c r="W55" s="4"/>
      <c r="X55" s="4"/>
      <c r="Y55" s="4"/>
      <c r="Z55" s="4"/>
    </row>
    <row r="56" ht="14.25" customHeight="1">
      <c r="A56" s="71" t="str">
        <f t="shared" si="1"/>
        <v>#REF!</v>
      </c>
      <c r="B56" s="71" t="str">
        <f t="shared" si="2"/>
        <v>#REF!</v>
      </c>
      <c r="C56" s="71" t="str">
        <f t="shared" si="3"/>
        <v>#REF!</v>
      </c>
      <c r="D56" s="60" t="str">
        <f t="shared" si="4"/>
        <v>#REF!</v>
      </c>
      <c r="E56" s="62" t="str">
        <f t="shared" si="5"/>
        <v>#REF!</v>
      </c>
      <c r="F56" s="4"/>
      <c r="G56" s="4"/>
      <c r="H56" s="4"/>
      <c r="I56" s="4"/>
      <c r="J56" s="4"/>
      <c r="K56" s="4"/>
      <c r="L56" s="4"/>
      <c r="M56" s="4"/>
      <c r="N56" s="4"/>
      <c r="O56" s="4"/>
      <c r="P56" s="4"/>
      <c r="Q56" s="4"/>
      <c r="R56" s="4"/>
      <c r="S56" s="4"/>
      <c r="T56" s="4"/>
      <c r="U56" s="4"/>
      <c r="V56" s="4"/>
      <c r="W56" s="4"/>
      <c r="X56" s="4"/>
      <c r="Y56" s="4"/>
      <c r="Z56" s="4"/>
    </row>
    <row r="57" ht="14.25" customHeight="1">
      <c r="A57" s="71" t="str">
        <f t="shared" si="1"/>
        <v>#REF!</v>
      </c>
      <c r="B57" s="71" t="str">
        <f t="shared" si="2"/>
        <v>#REF!</v>
      </c>
      <c r="C57" s="71" t="str">
        <f t="shared" si="3"/>
        <v>#REF!</v>
      </c>
      <c r="D57" s="60" t="str">
        <f t="shared" si="4"/>
        <v>#REF!</v>
      </c>
      <c r="E57" s="62" t="str">
        <f t="shared" si="5"/>
        <v>#REF!</v>
      </c>
      <c r="F57" s="4"/>
      <c r="G57" s="4"/>
      <c r="H57" s="4"/>
      <c r="I57" s="4"/>
      <c r="J57" s="4"/>
      <c r="K57" s="4"/>
      <c r="L57" s="4"/>
      <c r="M57" s="4"/>
      <c r="N57" s="4"/>
      <c r="O57" s="4"/>
      <c r="P57" s="4"/>
      <c r="Q57" s="4"/>
      <c r="R57" s="4"/>
      <c r="S57" s="4"/>
      <c r="T57" s="4"/>
      <c r="U57" s="4"/>
      <c r="V57" s="4"/>
      <c r="W57" s="4"/>
      <c r="X57" s="4"/>
      <c r="Y57" s="4"/>
      <c r="Z57" s="4"/>
    </row>
    <row r="58" ht="14.25" customHeight="1">
      <c r="A58" s="71" t="str">
        <f t="shared" si="1"/>
        <v>#REF!</v>
      </c>
      <c r="B58" s="71" t="str">
        <f t="shared" si="2"/>
        <v>#REF!</v>
      </c>
      <c r="C58" s="71" t="str">
        <f t="shared" si="3"/>
        <v>#REF!</v>
      </c>
      <c r="D58" s="60" t="str">
        <f t="shared" si="4"/>
        <v>#REF!</v>
      </c>
      <c r="E58" s="62" t="str">
        <f t="shared" si="5"/>
        <v>#REF!</v>
      </c>
      <c r="F58" s="4"/>
      <c r="G58" s="4"/>
      <c r="H58" s="4"/>
      <c r="I58" s="4"/>
      <c r="J58" s="4"/>
      <c r="K58" s="4"/>
      <c r="L58" s="4"/>
      <c r="M58" s="4"/>
      <c r="N58" s="4"/>
      <c r="O58" s="4"/>
      <c r="P58" s="4"/>
      <c r="Q58" s="4"/>
      <c r="R58" s="4"/>
      <c r="S58" s="4"/>
      <c r="T58" s="4"/>
      <c r="U58" s="4"/>
      <c r="V58" s="4"/>
      <c r="W58" s="4"/>
      <c r="X58" s="4"/>
      <c r="Y58" s="4"/>
      <c r="Z58" s="4"/>
    </row>
    <row r="59" ht="14.25" customHeight="1">
      <c r="A59" s="71" t="str">
        <f t="shared" si="1"/>
        <v>#REF!</v>
      </c>
      <c r="B59" s="71" t="str">
        <f t="shared" si="2"/>
        <v>#REF!</v>
      </c>
      <c r="C59" s="71" t="str">
        <f t="shared" si="3"/>
        <v>#REF!</v>
      </c>
      <c r="D59" s="60" t="str">
        <f t="shared" si="4"/>
        <v>#REF!</v>
      </c>
      <c r="E59" s="62" t="str">
        <f t="shared" si="5"/>
        <v>#REF!</v>
      </c>
      <c r="F59" s="4"/>
      <c r="G59" s="4"/>
      <c r="H59" s="4"/>
      <c r="I59" s="4"/>
      <c r="J59" s="4"/>
      <c r="K59" s="4"/>
      <c r="L59" s="4"/>
      <c r="M59" s="4"/>
      <c r="N59" s="4"/>
      <c r="O59" s="4"/>
      <c r="P59" s="4"/>
      <c r="Q59" s="4"/>
      <c r="R59" s="4"/>
      <c r="S59" s="4"/>
      <c r="T59" s="4"/>
      <c r="U59" s="4"/>
      <c r="V59" s="4"/>
      <c r="W59" s="4"/>
      <c r="X59" s="4"/>
      <c r="Y59" s="4"/>
      <c r="Z59" s="4"/>
    </row>
    <row r="60" ht="14.25" customHeight="1">
      <c r="A60" s="71" t="str">
        <f t="shared" si="1"/>
        <v>#REF!</v>
      </c>
      <c r="B60" s="71" t="str">
        <f t="shared" si="2"/>
        <v>#REF!</v>
      </c>
      <c r="C60" s="71" t="str">
        <f t="shared" si="3"/>
        <v>#REF!</v>
      </c>
      <c r="D60" s="60" t="str">
        <f t="shared" si="4"/>
        <v>#REF!</v>
      </c>
      <c r="E60" s="62" t="str">
        <f t="shared" si="5"/>
        <v>#REF!</v>
      </c>
      <c r="F60" s="4"/>
      <c r="G60" s="4"/>
      <c r="H60" s="4"/>
      <c r="I60" s="4"/>
      <c r="J60" s="4"/>
      <c r="K60" s="4"/>
      <c r="L60" s="4"/>
      <c r="M60" s="4"/>
      <c r="N60" s="4"/>
      <c r="O60" s="4"/>
      <c r="P60" s="4"/>
      <c r="Q60" s="4"/>
      <c r="R60" s="4"/>
      <c r="S60" s="4"/>
      <c r="T60" s="4"/>
      <c r="U60" s="4"/>
      <c r="V60" s="4"/>
      <c r="W60" s="4"/>
      <c r="X60" s="4"/>
      <c r="Y60" s="4"/>
      <c r="Z60" s="4"/>
    </row>
    <row r="61" ht="14.25" customHeight="1">
      <c r="A61" s="71" t="str">
        <f t="shared" si="1"/>
        <v>#REF!</v>
      </c>
      <c r="B61" s="71" t="str">
        <f t="shared" si="2"/>
        <v>#REF!</v>
      </c>
      <c r="C61" s="71" t="str">
        <f t="shared" si="3"/>
        <v>#REF!</v>
      </c>
      <c r="D61" s="60" t="str">
        <f t="shared" si="4"/>
        <v>#REF!</v>
      </c>
      <c r="E61" s="62" t="str">
        <f t="shared" si="5"/>
        <v>#REF!</v>
      </c>
      <c r="F61" s="4"/>
      <c r="G61" s="4"/>
      <c r="H61" s="4"/>
      <c r="I61" s="4"/>
      <c r="J61" s="4"/>
      <c r="K61" s="4"/>
      <c r="L61" s="4"/>
      <c r="M61" s="4"/>
      <c r="N61" s="4"/>
      <c r="O61" s="4"/>
      <c r="P61" s="4"/>
      <c r="Q61" s="4"/>
      <c r="R61" s="4"/>
      <c r="S61" s="4"/>
      <c r="T61" s="4"/>
      <c r="U61" s="4"/>
      <c r="V61" s="4"/>
      <c r="W61" s="4"/>
      <c r="X61" s="4"/>
      <c r="Y61" s="4"/>
      <c r="Z61" s="4"/>
    </row>
    <row r="62" ht="14.25" customHeight="1">
      <c r="A62" s="71" t="str">
        <f t="shared" si="1"/>
        <v>#REF!</v>
      </c>
      <c r="B62" s="71" t="str">
        <f t="shared" si="2"/>
        <v>#REF!</v>
      </c>
      <c r="C62" s="71" t="str">
        <f t="shared" si="3"/>
        <v>#REF!</v>
      </c>
      <c r="D62" s="60" t="str">
        <f t="shared" si="4"/>
        <v>#REF!</v>
      </c>
      <c r="E62" s="62" t="str">
        <f t="shared" si="5"/>
        <v>#REF!</v>
      </c>
      <c r="F62" s="4"/>
      <c r="G62" s="4"/>
      <c r="H62" s="4"/>
      <c r="I62" s="4"/>
      <c r="J62" s="4"/>
      <c r="K62" s="4"/>
      <c r="L62" s="4"/>
      <c r="M62" s="4"/>
      <c r="N62" s="4"/>
      <c r="O62" s="4"/>
      <c r="P62" s="4"/>
      <c r="Q62" s="4"/>
      <c r="R62" s="4"/>
      <c r="S62" s="4"/>
      <c r="T62" s="4"/>
      <c r="U62" s="4"/>
      <c r="V62" s="4"/>
      <c r="W62" s="4"/>
      <c r="X62" s="4"/>
      <c r="Y62" s="4"/>
      <c r="Z62" s="4"/>
    </row>
    <row r="63" ht="14.25" customHeight="1">
      <c r="A63" s="71" t="str">
        <f t="shared" si="1"/>
        <v>#REF!</v>
      </c>
      <c r="B63" s="71" t="str">
        <f t="shared" si="2"/>
        <v>#REF!</v>
      </c>
      <c r="C63" s="71" t="str">
        <f t="shared" si="3"/>
        <v>#REF!</v>
      </c>
      <c r="D63" s="60" t="str">
        <f t="shared" si="4"/>
        <v>#REF!</v>
      </c>
      <c r="E63" s="62" t="str">
        <f t="shared" si="5"/>
        <v>#REF!</v>
      </c>
      <c r="F63" s="4"/>
      <c r="G63" s="4"/>
      <c r="H63" s="4"/>
      <c r="I63" s="4"/>
      <c r="J63" s="4"/>
      <c r="K63" s="4"/>
      <c r="L63" s="4"/>
      <c r="M63" s="4"/>
      <c r="N63" s="4"/>
      <c r="O63" s="4"/>
      <c r="P63" s="4"/>
      <c r="Q63" s="4"/>
      <c r="R63" s="4"/>
      <c r="S63" s="4"/>
      <c r="T63" s="4"/>
      <c r="U63" s="4"/>
      <c r="V63" s="4"/>
      <c r="W63" s="4"/>
      <c r="X63" s="4"/>
      <c r="Y63" s="4"/>
      <c r="Z63" s="4"/>
    </row>
    <row r="64" ht="14.25" customHeight="1">
      <c r="A64" s="71" t="str">
        <f t="shared" si="1"/>
        <v>#REF!</v>
      </c>
      <c r="B64" s="71" t="str">
        <f t="shared" si="2"/>
        <v>#REF!</v>
      </c>
      <c r="C64" s="71" t="str">
        <f t="shared" si="3"/>
        <v>#REF!</v>
      </c>
      <c r="D64" s="60" t="str">
        <f t="shared" si="4"/>
        <v>#REF!</v>
      </c>
      <c r="E64" s="62" t="str">
        <f t="shared" si="5"/>
        <v>#REF!</v>
      </c>
      <c r="F64" s="4"/>
      <c r="G64" s="4"/>
      <c r="H64" s="4"/>
      <c r="I64" s="4"/>
      <c r="J64" s="4"/>
      <c r="K64" s="4"/>
      <c r="L64" s="4"/>
      <c r="M64" s="4"/>
      <c r="N64" s="4"/>
      <c r="O64" s="4"/>
      <c r="P64" s="4"/>
      <c r="Q64" s="4"/>
      <c r="R64" s="4"/>
      <c r="S64" s="4"/>
      <c r="T64" s="4"/>
      <c r="U64" s="4"/>
      <c r="V64" s="4"/>
      <c r="W64" s="4"/>
      <c r="X64" s="4"/>
      <c r="Y64" s="4"/>
      <c r="Z64" s="4"/>
    </row>
    <row r="65" ht="14.25" customHeight="1">
      <c r="A65" s="71" t="str">
        <f t="shared" si="1"/>
        <v>#REF!</v>
      </c>
      <c r="B65" s="71" t="str">
        <f t="shared" si="2"/>
        <v>#REF!</v>
      </c>
      <c r="C65" s="71" t="str">
        <f t="shared" si="3"/>
        <v>#REF!</v>
      </c>
      <c r="D65" s="60" t="str">
        <f t="shared" si="4"/>
        <v>#REF!</v>
      </c>
      <c r="E65" s="62" t="str">
        <f t="shared" si="5"/>
        <v>#REF!</v>
      </c>
      <c r="F65" s="4"/>
      <c r="G65" s="4"/>
      <c r="H65" s="4"/>
      <c r="I65" s="4"/>
      <c r="J65" s="4"/>
      <c r="K65" s="4"/>
      <c r="L65" s="4"/>
      <c r="M65" s="4"/>
      <c r="N65" s="4"/>
      <c r="O65" s="4"/>
      <c r="P65" s="4"/>
      <c r="Q65" s="4"/>
      <c r="R65" s="4"/>
      <c r="S65" s="4"/>
      <c r="T65" s="4"/>
      <c r="U65" s="4"/>
      <c r="V65" s="4"/>
      <c r="W65" s="4"/>
      <c r="X65" s="4"/>
      <c r="Y65" s="4"/>
      <c r="Z65" s="4"/>
    </row>
    <row r="66" ht="14.25" customHeight="1">
      <c r="A66" s="71" t="str">
        <f t="shared" si="1"/>
        <v>#REF!</v>
      </c>
      <c r="B66" s="71" t="str">
        <f t="shared" si="2"/>
        <v>#REF!</v>
      </c>
      <c r="C66" s="71" t="str">
        <f t="shared" si="3"/>
        <v>#REF!</v>
      </c>
      <c r="D66" s="60" t="str">
        <f t="shared" si="4"/>
        <v>#REF!</v>
      </c>
      <c r="E66" s="62" t="str">
        <f t="shared" si="5"/>
        <v>#REF!</v>
      </c>
      <c r="F66" s="4"/>
      <c r="G66" s="4"/>
      <c r="H66" s="4"/>
      <c r="I66" s="4"/>
      <c r="J66" s="4"/>
      <c r="K66" s="4"/>
      <c r="L66" s="4"/>
      <c r="M66" s="4"/>
      <c r="N66" s="4"/>
      <c r="O66" s="4"/>
      <c r="P66" s="4"/>
      <c r="Q66" s="4"/>
      <c r="R66" s="4"/>
      <c r="S66" s="4"/>
      <c r="T66" s="4"/>
      <c r="U66" s="4"/>
      <c r="V66" s="4"/>
      <c r="W66" s="4"/>
      <c r="X66" s="4"/>
      <c r="Y66" s="4"/>
      <c r="Z66" s="4"/>
    </row>
    <row r="67" ht="14.25" customHeight="1">
      <c r="A67" s="71" t="str">
        <f t="shared" si="1"/>
        <v>#REF!</v>
      </c>
      <c r="B67" s="71" t="str">
        <f t="shared" si="2"/>
        <v>#REF!</v>
      </c>
      <c r="C67" s="71" t="str">
        <f t="shared" si="3"/>
        <v>#REF!</v>
      </c>
      <c r="D67" s="60" t="str">
        <f t="shared" si="4"/>
        <v>#REF!</v>
      </c>
      <c r="E67" s="62" t="str">
        <f t="shared" si="5"/>
        <v>#REF!</v>
      </c>
      <c r="F67" s="4"/>
      <c r="G67" s="4"/>
      <c r="H67" s="4"/>
      <c r="I67" s="4"/>
      <c r="J67" s="4"/>
      <c r="K67" s="4"/>
      <c r="L67" s="4"/>
      <c r="M67" s="4"/>
      <c r="N67" s="4"/>
      <c r="O67" s="4"/>
      <c r="P67" s="4"/>
      <c r="Q67" s="4"/>
      <c r="R67" s="4"/>
      <c r="S67" s="4"/>
      <c r="T67" s="4"/>
      <c r="U67" s="4"/>
      <c r="V67" s="4"/>
      <c r="W67" s="4"/>
      <c r="X67" s="4"/>
      <c r="Y67" s="4"/>
      <c r="Z67" s="4"/>
    </row>
    <row r="68" ht="14.25" customHeight="1">
      <c r="A68" s="71" t="str">
        <f t="shared" si="1"/>
        <v>#REF!</v>
      </c>
      <c r="B68" s="71" t="str">
        <f t="shared" si="2"/>
        <v>#REF!</v>
      </c>
      <c r="C68" s="71" t="str">
        <f t="shared" si="3"/>
        <v>#REF!</v>
      </c>
      <c r="D68" s="60" t="str">
        <f t="shared" si="4"/>
        <v>#REF!</v>
      </c>
      <c r="E68" s="62" t="str">
        <f t="shared" si="5"/>
        <v>#REF!</v>
      </c>
      <c r="F68" s="4"/>
      <c r="G68" s="4"/>
      <c r="H68" s="4"/>
      <c r="I68" s="4"/>
      <c r="J68" s="4"/>
      <c r="K68" s="4"/>
      <c r="L68" s="4"/>
      <c r="M68" s="4"/>
      <c r="N68" s="4"/>
      <c r="O68" s="4"/>
      <c r="P68" s="4"/>
      <c r="Q68" s="4"/>
      <c r="R68" s="4"/>
      <c r="S68" s="4"/>
      <c r="T68" s="4"/>
      <c r="U68" s="4"/>
      <c r="V68" s="4"/>
      <c r="W68" s="4"/>
      <c r="X68" s="4"/>
      <c r="Y68" s="4"/>
      <c r="Z68" s="4"/>
    </row>
    <row r="69" ht="14.25" customHeight="1">
      <c r="A69" s="71" t="str">
        <f t="shared" si="1"/>
        <v>#REF!</v>
      </c>
      <c r="B69" s="71" t="str">
        <f t="shared" si="2"/>
        <v>#REF!</v>
      </c>
      <c r="C69" s="71" t="str">
        <f t="shared" si="3"/>
        <v>#REF!</v>
      </c>
      <c r="D69" s="60" t="str">
        <f t="shared" si="4"/>
        <v>#REF!</v>
      </c>
      <c r="E69" s="62" t="str">
        <f t="shared" si="5"/>
        <v>#REF!</v>
      </c>
      <c r="F69" s="4"/>
      <c r="G69" s="4"/>
      <c r="H69" s="4"/>
      <c r="I69" s="4"/>
      <c r="J69" s="4"/>
      <c r="K69" s="4"/>
      <c r="L69" s="4"/>
      <c r="M69" s="4"/>
      <c r="N69" s="4"/>
      <c r="O69" s="4"/>
      <c r="P69" s="4"/>
      <c r="Q69" s="4"/>
      <c r="R69" s="4"/>
      <c r="S69" s="4"/>
      <c r="T69" s="4"/>
      <c r="U69" s="4"/>
      <c r="V69" s="4"/>
      <c r="W69" s="4"/>
      <c r="X69" s="4"/>
      <c r="Y69" s="4"/>
      <c r="Z69" s="4"/>
    </row>
    <row r="70" ht="14.25" customHeight="1">
      <c r="A70" s="71" t="str">
        <f t="shared" si="1"/>
        <v>#REF!</v>
      </c>
      <c r="B70" s="71" t="str">
        <f t="shared" si="2"/>
        <v>#REF!</v>
      </c>
      <c r="C70" s="71" t="str">
        <f t="shared" si="3"/>
        <v>#REF!</v>
      </c>
      <c r="D70" s="60" t="str">
        <f t="shared" si="4"/>
        <v>#REF!</v>
      </c>
      <c r="E70" s="62" t="str">
        <f t="shared" si="5"/>
        <v>#REF!</v>
      </c>
      <c r="F70" s="4"/>
      <c r="G70" s="4"/>
      <c r="H70" s="4"/>
      <c r="I70" s="4"/>
      <c r="J70" s="4"/>
      <c r="K70" s="4"/>
      <c r="L70" s="4"/>
      <c r="M70" s="4"/>
      <c r="N70" s="4"/>
      <c r="O70" s="4"/>
      <c r="P70" s="4"/>
      <c r="Q70" s="4"/>
      <c r="R70" s="4"/>
      <c r="S70" s="4"/>
      <c r="T70" s="4"/>
      <c r="U70" s="4"/>
      <c r="V70" s="4"/>
      <c r="W70" s="4"/>
      <c r="X70" s="4"/>
      <c r="Y70" s="4"/>
      <c r="Z70" s="4"/>
    </row>
    <row r="71" ht="14.25" customHeight="1">
      <c r="A71" s="71" t="str">
        <f t="shared" si="1"/>
        <v>#REF!</v>
      </c>
      <c r="B71" s="71" t="str">
        <f t="shared" si="2"/>
        <v>#REF!</v>
      </c>
      <c r="C71" s="71" t="str">
        <f t="shared" si="3"/>
        <v>#REF!</v>
      </c>
      <c r="D71" s="60" t="str">
        <f t="shared" si="4"/>
        <v>#REF!</v>
      </c>
      <c r="E71" s="62" t="str">
        <f t="shared" si="5"/>
        <v>#REF!</v>
      </c>
      <c r="F71" s="4"/>
      <c r="G71" s="4"/>
      <c r="H71" s="4"/>
      <c r="I71" s="4"/>
      <c r="J71" s="4"/>
      <c r="K71" s="4"/>
      <c r="L71" s="4"/>
      <c r="M71" s="4"/>
      <c r="N71" s="4"/>
      <c r="O71" s="4"/>
      <c r="P71" s="4"/>
      <c r="Q71" s="4"/>
      <c r="R71" s="4"/>
      <c r="S71" s="4"/>
      <c r="T71" s="4"/>
      <c r="U71" s="4"/>
      <c r="V71" s="4"/>
      <c r="W71" s="4"/>
      <c r="X71" s="4"/>
      <c r="Y71" s="4"/>
      <c r="Z71" s="4"/>
    </row>
    <row r="72" ht="14.25" customHeight="1">
      <c r="A72" s="71" t="str">
        <f t="shared" si="1"/>
        <v>#REF!</v>
      </c>
      <c r="B72" s="71" t="str">
        <f t="shared" si="2"/>
        <v>#REF!</v>
      </c>
      <c r="C72" s="71" t="str">
        <f t="shared" si="3"/>
        <v>#REF!</v>
      </c>
      <c r="D72" s="60" t="str">
        <f t="shared" si="4"/>
        <v>#REF!</v>
      </c>
      <c r="E72" s="62" t="str">
        <f t="shared" si="5"/>
        <v>#REF!</v>
      </c>
      <c r="F72" s="4"/>
      <c r="G72" s="4"/>
      <c r="H72" s="4"/>
      <c r="I72" s="4"/>
      <c r="J72" s="4"/>
      <c r="K72" s="4"/>
      <c r="L72" s="4"/>
      <c r="M72" s="4"/>
      <c r="N72" s="4"/>
      <c r="O72" s="4"/>
      <c r="P72" s="4"/>
      <c r="Q72" s="4"/>
      <c r="R72" s="4"/>
      <c r="S72" s="4"/>
      <c r="T72" s="4"/>
      <c r="U72" s="4"/>
      <c r="V72" s="4"/>
      <c r="W72" s="4"/>
      <c r="X72" s="4"/>
      <c r="Y72" s="4"/>
      <c r="Z72" s="4"/>
    </row>
    <row r="73" ht="14.25" customHeight="1">
      <c r="A73" s="71" t="str">
        <f t="shared" si="1"/>
        <v>#REF!</v>
      </c>
      <c r="B73" s="71" t="str">
        <f t="shared" si="2"/>
        <v>#REF!</v>
      </c>
      <c r="C73" s="71" t="str">
        <f t="shared" si="3"/>
        <v>#REF!</v>
      </c>
      <c r="D73" s="60" t="str">
        <f t="shared" si="4"/>
        <v>#REF!</v>
      </c>
      <c r="E73" s="62" t="str">
        <f t="shared" si="5"/>
        <v>#REF!</v>
      </c>
      <c r="F73" s="4"/>
      <c r="G73" s="4"/>
      <c r="H73" s="4"/>
      <c r="I73" s="4"/>
      <c r="J73" s="4"/>
      <c r="K73" s="4"/>
      <c r="L73" s="4"/>
      <c r="M73" s="4"/>
      <c r="N73" s="4"/>
      <c r="O73" s="4"/>
      <c r="P73" s="4"/>
      <c r="Q73" s="4"/>
      <c r="R73" s="4"/>
      <c r="S73" s="4"/>
      <c r="T73" s="4"/>
      <c r="U73" s="4"/>
      <c r="V73" s="4"/>
      <c r="W73" s="4"/>
      <c r="X73" s="4"/>
      <c r="Y73" s="4"/>
      <c r="Z73" s="4"/>
    </row>
    <row r="74" ht="14.25" customHeight="1">
      <c r="A74" s="71" t="str">
        <f t="shared" si="1"/>
        <v>#REF!</v>
      </c>
      <c r="B74" s="71" t="str">
        <f t="shared" si="2"/>
        <v>#REF!</v>
      </c>
      <c r="C74" s="71" t="str">
        <f t="shared" si="3"/>
        <v>#REF!</v>
      </c>
      <c r="D74" s="60" t="str">
        <f t="shared" si="4"/>
        <v>#REF!</v>
      </c>
      <c r="E74" s="62" t="str">
        <f t="shared" si="5"/>
        <v>#REF!</v>
      </c>
      <c r="F74" s="4"/>
      <c r="G74" s="4"/>
      <c r="H74" s="4"/>
      <c r="I74" s="4"/>
      <c r="J74" s="4"/>
      <c r="K74" s="4"/>
      <c r="L74" s="4"/>
      <c r="M74" s="4"/>
      <c r="N74" s="4"/>
      <c r="O74" s="4"/>
      <c r="P74" s="4"/>
      <c r="Q74" s="4"/>
      <c r="R74" s="4"/>
      <c r="S74" s="4"/>
      <c r="T74" s="4"/>
      <c r="U74" s="4"/>
      <c r="V74" s="4"/>
      <c r="W74" s="4"/>
      <c r="X74" s="4"/>
      <c r="Y74" s="4"/>
      <c r="Z74" s="4"/>
    </row>
    <row r="75" ht="14.25" customHeight="1">
      <c r="A75" s="71" t="str">
        <f t="shared" si="1"/>
        <v>#REF!</v>
      </c>
      <c r="B75" s="71" t="str">
        <f t="shared" si="2"/>
        <v>#REF!</v>
      </c>
      <c r="C75" s="71" t="str">
        <f t="shared" si="3"/>
        <v>#REF!</v>
      </c>
      <c r="D75" s="60" t="str">
        <f t="shared" si="4"/>
        <v>#REF!</v>
      </c>
      <c r="E75" s="62" t="str">
        <f t="shared" si="5"/>
        <v>#REF!</v>
      </c>
      <c r="F75" s="4"/>
      <c r="G75" s="4"/>
      <c r="H75" s="4"/>
      <c r="I75" s="4"/>
      <c r="J75" s="4"/>
      <c r="K75" s="4"/>
      <c r="L75" s="4"/>
      <c r="M75" s="4"/>
      <c r="N75" s="4"/>
      <c r="O75" s="4"/>
      <c r="P75" s="4"/>
      <c r="Q75" s="4"/>
      <c r="R75" s="4"/>
      <c r="S75" s="4"/>
      <c r="T75" s="4"/>
      <c r="U75" s="4"/>
      <c r="V75" s="4"/>
      <c r="W75" s="4"/>
      <c r="X75" s="4"/>
      <c r="Y75" s="4"/>
      <c r="Z75" s="4"/>
    </row>
    <row r="76" ht="14.25" customHeight="1">
      <c r="A76" s="71" t="str">
        <f t="shared" si="1"/>
        <v>#REF!</v>
      </c>
      <c r="B76" s="71" t="str">
        <f t="shared" si="2"/>
        <v>#REF!</v>
      </c>
      <c r="C76" s="71" t="str">
        <f t="shared" si="3"/>
        <v>#REF!</v>
      </c>
      <c r="D76" s="60" t="str">
        <f t="shared" si="4"/>
        <v>#REF!</v>
      </c>
      <c r="E76" s="62" t="str">
        <f t="shared" si="5"/>
        <v>#REF!</v>
      </c>
      <c r="F76" s="4"/>
      <c r="G76" s="4"/>
      <c r="H76" s="4"/>
      <c r="I76" s="4"/>
      <c r="J76" s="4"/>
      <c r="K76" s="4"/>
      <c r="L76" s="4"/>
      <c r="M76" s="4"/>
      <c r="N76" s="4"/>
      <c r="O76" s="4"/>
      <c r="P76" s="4"/>
      <c r="Q76" s="4"/>
      <c r="R76" s="4"/>
      <c r="S76" s="4"/>
      <c r="T76" s="4"/>
      <c r="U76" s="4"/>
      <c r="V76" s="4"/>
      <c r="W76" s="4"/>
      <c r="X76" s="4"/>
      <c r="Y76" s="4"/>
      <c r="Z76" s="4"/>
    </row>
    <row r="77" ht="14.25" customHeight="1">
      <c r="A77" s="71" t="str">
        <f t="shared" si="1"/>
        <v>#REF!</v>
      </c>
      <c r="B77" s="71" t="str">
        <f t="shared" si="2"/>
        <v>#REF!</v>
      </c>
      <c r="C77" s="71" t="str">
        <f t="shared" si="3"/>
        <v>#REF!</v>
      </c>
      <c r="D77" s="60" t="str">
        <f t="shared" si="4"/>
        <v>#REF!</v>
      </c>
      <c r="E77" s="62" t="str">
        <f t="shared" si="5"/>
        <v>#REF!</v>
      </c>
      <c r="F77" s="4"/>
      <c r="G77" s="4"/>
      <c r="H77" s="4"/>
      <c r="I77" s="4"/>
      <c r="J77" s="4"/>
      <c r="K77" s="4"/>
      <c r="L77" s="4"/>
      <c r="M77" s="4"/>
      <c r="N77" s="4"/>
      <c r="O77" s="4"/>
      <c r="P77" s="4"/>
      <c r="Q77" s="4"/>
      <c r="R77" s="4"/>
      <c r="S77" s="4"/>
      <c r="T77" s="4"/>
      <c r="U77" s="4"/>
      <c r="V77" s="4"/>
      <c r="W77" s="4"/>
      <c r="X77" s="4"/>
      <c r="Y77" s="4"/>
      <c r="Z77" s="4"/>
    </row>
    <row r="78" ht="14.25" customHeight="1">
      <c r="A78" s="71" t="str">
        <f t="shared" si="1"/>
        <v>#REF!</v>
      </c>
      <c r="B78" s="71" t="str">
        <f t="shared" si="2"/>
        <v>#REF!</v>
      </c>
      <c r="C78" s="71" t="str">
        <f t="shared" si="3"/>
        <v>#REF!</v>
      </c>
      <c r="D78" s="60" t="str">
        <f t="shared" si="4"/>
        <v>#REF!</v>
      </c>
      <c r="E78" s="62" t="str">
        <f t="shared" si="5"/>
        <v>#REF!</v>
      </c>
      <c r="F78" s="4"/>
      <c r="G78" s="4"/>
      <c r="H78" s="4"/>
      <c r="I78" s="4"/>
      <c r="J78" s="4"/>
      <c r="K78" s="4"/>
      <c r="L78" s="4"/>
      <c r="M78" s="4"/>
      <c r="N78" s="4"/>
      <c r="O78" s="4"/>
      <c r="P78" s="4"/>
      <c r="Q78" s="4"/>
      <c r="R78" s="4"/>
      <c r="S78" s="4"/>
      <c r="T78" s="4"/>
      <c r="U78" s="4"/>
      <c r="V78" s="4"/>
      <c r="W78" s="4"/>
      <c r="X78" s="4"/>
      <c r="Y78" s="4"/>
      <c r="Z78" s="4"/>
    </row>
    <row r="79" ht="14.25" customHeight="1">
      <c r="A79" s="71" t="str">
        <f t="shared" si="1"/>
        <v>#REF!</v>
      </c>
      <c r="B79" s="71" t="str">
        <f t="shared" si="2"/>
        <v>#REF!</v>
      </c>
      <c r="C79" s="71" t="str">
        <f t="shared" si="3"/>
        <v>#REF!</v>
      </c>
      <c r="D79" s="60" t="str">
        <f t="shared" si="4"/>
        <v>#REF!</v>
      </c>
      <c r="E79" s="62" t="str">
        <f t="shared" si="5"/>
        <v>#REF!</v>
      </c>
      <c r="F79" s="4"/>
      <c r="G79" s="4"/>
      <c r="H79" s="4"/>
      <c r="I79" s="4"/>
      <c r="J79" s="4"/>
      <c r="K79" s="4"/>
      <c r="L79" s="4"/>
      <c r="M79" s="4"/>
      <c r="N79" s="4"/>
      <c r="O79" s="4"/>
      <c r="P79" s="4"/>
      <c r="Q79" s="4"/>
      <c r="R79" s="4"/>
      <c r="S79" s="4"/>
      <c r="T79" s="4"/>
      <c r="U79" s="4"/>
      <c r="V79" s="4"/>
      <c r="W79" s="4"/>
      <c r="X79" s="4"/>
      <c r="Y79" s="4"/>
      <c r="Z79" s="4"/>
    </row>
    <row r="80" ht="14.25" customHeight="1">
      <c r="A80" s="71" t="str">
        <f t="shared" si="1"/>
        <v>#REF!</v>
      </c>
      <c r="B80" s="71" t="str">
        <f t="shared" si="2"/>
        <v>#REF!</v>
      </c>
      <c r="C80" s="71" t="str">
        <f t="shared" si="3"/>
        <v>#REF!</v>
      </c>
      <c r="D80" s="60" t="str">
        <f t="shared" si="4"/>
        <v>#REF!</v>
      </c>
      <c r="E80" s="62" t="str">
        <f t="shared" si="5"/>
        <v>#REF!</v>
      </c>
      <c r="F80" s="4"/>
      <c r="G80" s="4"/>
      <c r="H80" s="4"/>
      <c r="I80" s="4"/>
      <c r="J80" s="4"/>
      <c r="K80" s="4"/>
      <c r="L80" s="4"/>
      <c r="M80" s="4"/>
      <c r="N80" s="4"/>
      <c r="O80" s="4"/>
      <c r="P80" s="4"/>
      <c r="Q80" s="4"/>
      <c r="R80" s="4"/>
      <c r="S80" s="4"/>
      <c r="T80" s="4"/>
      <c r="U80" s="4"/>
      <c r="V80" s="4"/>
      <c r="W80" s="4"/>
      <c r="X80" s="4"/>
      <c r="Y80" s="4"/>
      <c r="Z80" s="4"/>
    </row>
    <row r="81" ht="14.25" customHeight="1">
      <c r="A81" s="71" t="str">
        <f t="shared" si="1"/>
        <v>#REF!</v>
      </c>
      <c r="B81" s="71" t="str">
        <f t="shared" si="2"/>
        <v>#REF!</v>
      </c>
      <c r="C81" s="71" t="str">
        <f t="shared" si="3"/>
        <v>#REF!</v>
      </c>
      <c r="D81" s="60" t="str">
        <f t="shared" si="4"/>
        <v>#REF!</v>
      </c>
      <c r="E81" s="62" t="str">
        <f t="shared" si="5"/>
        <v>#REF!</v>
      </c>
      <c r="F81" s="4"/>
      <c r="G81" s="4"/>
      <c r="H81" s="4"/>
      <c r="I81" s="4"/>
      <c r="J81" s="4"/>
      <c r="K81" s="4"/>
      <c r="L81" s="4"/>
      <c r="M81" s="4"/>
      <c r="N81" s="4"/>
      <c r="O81" s="4"/>
      <c r="P81" s="4"/>
      <c r="Q81" s="4"/>
      <c r="R81" s="4"/>
      <c r="S81" s="4"/>
      <c r="T81" s="4"/>
      <c r="U81" s="4"/>
      <c r="V81" s="4"/>
      <c r="W81" s="4"/>
      <c r="X81" s="4"/>
      <c r="Y81" s="4"/>
      <c r="Z81" s="4"/>
    </row>
    <row r="82" ht="14.25" customHeight="1">
      <c r="A82" s="71" t="str">
        <f t="shared" si="1"/>
        <v>#REF!</v>
      </c>
      <c r="B82" s="71" t="str">
        <f t="shared" si="2"/>
        <v>#REF!</v>
      </c>
      <c r="C82" s="71" t="str">
        <f t="shared" si="3"/>
        <v>#REF!</v>
      </c>
      <c r="D82" s="60" t="str">
        <f t="shared" si="4"/>
        <v>#REF!</v>
      </c>
      <c r="E82" s="62" t="str">
        <f t="shared" si="5"/>
        <v>#REF!</v>
      </c>
      <c r="F82" s="4"/>
      <c r="G82" s="4"/>
      <c r="H82" s="4"/>
      <c r="I82" s="4"/>
      <c r="J82" s="4"/>
      <c r="K82" s="4"/>
      <c r="L82" s="4"/>
      <c r="M82" s="4"/>
      <c r="N82" s="4"/>
      <c r="O82" s="4"/>
      <c r="P82" s="4"/>
      <c r="Q82" s="4"/>
      <c r="R82" s="4"/>
      <c r="S82" s="4"/>
      <c r="T82" s="4"/>
      <c r="U82" s="4"/>
      <c r="V82" s="4"/>
      <c r="W82" s="4"/>
      <c r="X82" s="4"/>
      <c r="Y82" s="4"/>
      <c r="Z82" s="4"/>
    </row>
    <row r="83" ht="14.25" customHeight="1">
      <c r="A83" s="71" t="str">
        <f t="shared" si="1"/>
        <v>#REF!</v>
      </c>
      <c r="B83" s="71" t="str">
        <f t="shared" si="2"/>
        <v>#REF!</v>
      </c>
      <c r="C83" s="71" t="str">
        <f t="shared" si="3"/>
        <v>#REF!</v>
      </c>
      <c r="D83" s="60" t="str">
        <f t="shared" si="4"/>
        <v>#REF!</v>
      </c>
      <c r="E83" s="62" t="str">
        <f t="shared" si="5"/>
        <v>#REF!</v>
      </c>
      <c r="F83" s="4"/>
      <c r="G83" s="4"/>
      <c r="H83" s="4"/>
      <c r="I83" s="4"/>
      <c r="J83" s="4"/>
      <c r="K83" s="4"/>
      <c r="L83" s="4"/>
      <c r="M83" s="4"/>
      <c r="N83" s="4"/>
      <c r="O83" s="4"/>
      <c r="P83" s="4"/>
      <c r="Q83" s="4"/>
      <c r="R83" s="4"/>
      <c r="S83" s="4"/>
      <c r="T83" s="4"/>
      <c r="U83" s="4"/>
      <c r="V83" s="4"/>
      <c r="W83" s="4"/>
      <c r="X83" s="4"/>
      <c r="Y83" s="4"/>
      <c r="Z83" s="4"/>
    </row>
    <row r="84" ht="14.25" customHeight="1">
      <c r="A84" s="71" t="str">
        <f t="shared" si="1"/>
        <v>#REF!</v>
      </c>
      <c r="B84" s="71" t="str">
        <f t="shared" si="2"/>
        <v>#REF!</v>
      </c>
      <c r="C84" s="71" t="str">
        <f t="shared" si="3"/>
        <v>#REF!</v>
      </c>
      <c r="D84" s="60" t="str">
        <f t="shared" si="4"/>
        <v>#REF!</v>
      </c>
      <c r="E84" s="62" t="str">
        <f t="shared" si="5"/>
        <v>#REF!</v>
      </c>
      <c r="F84" s="4"/>
      <c r="G84" s="4"/>
      <c r="H84" s="4"/>
      <c r="I84" s="4"/>
      <c r="J84" s="4"/>
      <c r="K84" s="4"/>
      <c r="L84" s="4"/>
      <c r="M84" s="4"/>
      <c r="N84" s="4"/>
      <c r="O84" s="4"/>
      <c r="P84" s="4"/>
      <c r="Q84" s="4"/>
      <c r="R84" s="4"/>
      <c r="S84" s="4"/>
      <c r="T84" s="4"/>
      <c r="U84" s="4"/>
      <c r="V84" s="4"/>
      <c r="W84" s="4"/>
      <c r="X84" s="4"/>
      <c r="Y84" s="4"/>
      <c r="Z84" s="4"/>
    </row>
    <row r="85" ht="14.25" customHeight="1">
      <c r="A85" s="71" t="str">
        <f t="shared" si="1"/>
        <v>#REF!</v>
      </c>
      <c r="B85" s="71" t="str">
        <f t="shared" si="2"/>
        <v>#REF!</v>
      </c>
      <c r="C85" s="71" t="str">
        <f t="shared" si="3"/>
        <v>#REF!</v>
      </c>
      <c r="D85" s="60" t="str">
        <f t="shared" si="4"/>
        <v>#REF!</v>
      </c>
      <c r="E85" s="62" t="str">
        <f t="shared" si="5"/>
        <v>#REF!</v>
      </c>
      <c r="F85" s="4"/>
      <c r="G85" s="4"/>
      <c r="H85" s="4"/>
      <c r="I85" s="4"/>
      <c r="J85" s="4"/>
      <c r="K85" s="4"/>
      <c r="L85" s="4"/>
      <c r="M85" s="4"/>
      <c r="N85" s="4"/>
      <c r="O85" s="4"/>
      <c r="P85" s="4"/>
      <c r="Q85" s="4"/>
      <c r="R85" s="4"/>
      <c r="S85" s="4"/>
      <c r="T85" s="4"/>
      <c r="U85" s="4"/>
      <c r="V85" s="4"/>
      <c r="W85" s="4"/>
      <c r="X85" s="4"/>
      <c r="Y85" s="4"/>
      <c r="Z85" s="4"/>
    </row>
    <row r="86" ht="14.25" customHeight="1">
      <c r="A86" s="71" t="str">
        <f t="shared" si="1"/>
        <v>#REF!</v>
      </c>
      <c r="B86" s="71" t="str">
        <f t="shared" si="2"/>
        <v>#REF!</v>
      </c>
      <c r="C86" s="71" t="str">
        <f t="shared" si="3"/>
        <v>#REF!</v>
      </c>
      <c r="D86" s="60" t="str">
        <f t="shared" si="4"/>
        <v>#REF!</v>
      </c>
      <c r="E86" s="62" t="str">
        <f t="shared" si="5"/>
        <v>#REF!</v>
      </c>
      <c r="F86" s="4"/>
      <c r="G86" s="4"/>
      <c r="H86" s="4"/>
      <c r="I86" s="4"/>
      <c r="J86" s="4"/>
      <c r="K86" s="4"/>
      <c r="L86" s="4"/>
      <c r="M86" s="4"/>
      <c r="N86" s="4"/>
      <c r="O86" s="4"/>
      <c r="P86" s="4"/>
      <c r="Q86" s="4"/>
      <c r="R86" s="4"/>
      <c r="S86" s="4"/>
      <c r="T86" s="4"/>
      <c r="U86" s="4"/>
      <c r="V86" s="4"/>
      <c r="W86" s="4"/>
      <c r="X86" s="4"/>
      <c r="Y86" s="4"/>
      <c r="Z86" s="4"/>
    </row>
    <row r="87" ht="14.25" customHeight="1">
      <c r="A87" s="71" t="str">
        <f t="shared" si="1"/>
        <v>#REF!</v>
      </c>
      <c r="B87" s="71" t="str">
        <f t="shared" si="2"/>
        <v>#REF!</v>
      </c>
      <c r="C87" s="71" t="str">
        <f t="shared" si="3"/>
        <v>#REF!</v>
      </c>
      <c r="D87" s="60" t="str">
        <f t="shared" si="4"/>
        <v>#REF!</v>
      </c>
      <c r="E87" s="62" t="str">
        <f t="shared" si="5"/>
        <v>#REF!</v>
      </c>
      <c r="F87" s="4"/>
      <c r="G87" s="4"/>
      <c r="H87" s="4"/>
      <c r="I87" s="4"/>
      <c r="J87" s="4"/>
      <c r="K87" s="4"/>
      <c r="L87" s="4"/>
      <c r="M87" s="4"/>
      <c r="N87" s="4"/>
      <c r="O87" s="4"/>
      <c r="P87" s="4"/>
      <c r="Q87" s="4"/>
      <c r="R87" s="4"/>
      <c r="S87" s="4"/>
      <c r="T87" s="4"/>
      <c r="U87" s="4"/>
      <c r="V87" s="4"/>
      <c r="W87" s="4"/>
      <c r="X87" s="4"/>
      <c r="Y87" s="4"/>
      <c r="Z87" s="4"/>
    </row>
    <row r="88" ht="14.25" customHeight="1">
      <c r="A88" s="71" t="str">
        <f t="shared" si="1"/>
        <v>#REF!</v>
      </c>
      <c r="B88" s="71" t="str">
        <f t="shared" si="2"/>
        <v>#REF!</v>
      </c>
      <c r="C88" s="71" t="str">
        <f t="shared" si="3"/>
        <v>#REF!</v>
      </c>
      <c r="D88" s="60" t="str">
        <f t="shared" si="4"/>
        <v>#REF!</v>
      </c>
      <c r="E88" s="62" t="str">
        <f t="shared" si="5"/>
        <v>#REF!</v>
      </c>
      <c r="F88" s="4"/>
      <c r="G88" s="4"/>
      <c r="H88" s="4"/>
      <c r="I88" s="4"/>
      <c r="J88" s="4"/>
      <c r="K88" s="4"/>
      <c r="L88" s="4"/>
      <c r="M88" s="4"/>
      <c r="N88" s="4"/>
      <c r="O88" s="4"/>
      <c r="P88" s="4"/>
      <c r="Q88" s="4"/>
      <c r="R88" s="4"/>
      <c r="S88" s="4"/>
      <c r="T88" s="4"/>
      <c r="U88" s="4"/>
      <c r="V88" s="4"/>
      <c r="W88" s="4"/>
      <c r="X88" s="4"/>
      <c r="Y88" s="4"/>
      <c r="Z88" s="4"/>
    </row>
    <row r="89" ht="14.25" customHeight="1">
      <c r="A89" s="71" t="str">
        <f t="shared" si="1"/>
        <v>#REF!</v>
      </c>
      <c r="B89" s="71" t="str">
        <f t="shared" si="2"/>
        <v>#REF!</v>
      </c>
      <c r="C89" s="71" t="str">
        <f t="shared" si="3"/>
        <v>#REF!</v>
      </c>
      <c r="D89" s="60" t="str">
        <f t="shared" si="4"/>
        <v>#REF!</v>
      </c>
      <c r="E89" s="62" t="str">
        <f t="shared" si="5"/>
        <v>#REF!</v>
      </c>
      <c r="F89" s="4"/>
      <c r="G89" s="4"/>
      <c r="H89" s="4"/>
      <c r="I89" s="4"/>
      <c r="J89" s="4"/>
      <c r="K89" s="4"/>
      <c r="L89" s="4"/>
      <c r="M89" s="4"/>
      <c r="N89" s="4"/>
      <c r="O89" s="4"/>
      <c r="P89" s="4"/>
      <c r="Q89" s="4"/>
      <c r="R89" s="4"/>
      <c r="S89" s="4"/>
      <c r="T89" s="4"/>
      <c r="U89" s="4"/>
      <c r="V89" s="4"/>
      <c r="W89" s="4"/>
      <c r="X89" s="4"/>
      <c r="Y89" s="4"/>
      <c r="Z89" s="4"/>
    </row>
    <row r="90" ht="14.25" customHeight="1">
      <c r="A90" s="71" t="str">
        <f t="shared" si="1"/>
        <v>#REF!</v>
      </c>
      <c r="B90" s="71" t="str">
        <f t="shared" si="2"/>
        <v>#REF!</v>
      </c>
      <c r="C90" s="71" t="str">
        <f t="shared" si="3"/>
        <v>#REF!</v>
      </c>
      <c r="D90" s="60" t="str">
        <f t="shared" si="4"/>
        <v>#REF!</v>
      </c>
      <c r="E90" s="62" t="str">
        <f t="shared" si="5"/>
        <v>#REF!</v>
      </c>
      <c r="F90" s="4"/>
      <c r="G90" s="4"/>
      <c r="H90" s="4"/>
      <c r="I90" s="4"/>
      <c r="J90" s="4"/>
      <c r="K90" s="4"/>
      <c r="L90" s="4"/>
      <c r="M90" s="4"/>
      <c r="N90" s="4"/>
      <c r="O90" s="4"/>
      <c r="P90" s="4"/>
      <c r="Q90" s="4"/>
      <c r="R90" s="4"/>
      <c r="S90" s="4"/>
      <c r="T90" s="4"/>
      <c r="U90" s="4"/>
      <c r="V90" s="4"/>
      <c r="W90" s="4"/>
      <c r="X90" s="4"/>
      <c r="Y90" s="4"/>
      <c r="Z90" s="4"/>
    </row>
    <row r="91" ht="14.25" customHeight="1">
      <c r="A91" s="71" t="str">
        <f t="shared" si="1"/>
        <v>#REF!</v>
      </c>
      <c r="B91" s="71" t="str">
        <f t="shared" si="2"/>
        <v>#REF!</v>
      </c>
      <c r="C91" s="71" t="str">
        <f t="shared" si="3"/>
        <v>#REF!</v>
      </c>
      <c r="D91" s="60" t="str">
        <f t="shared" si="4"/>
        <v>#REF!</v>
      </c>
      <c r="E91" s="62" t="str">
        <f t="shared" si="5"/>
        <v>#REF!</v>
      </c>
      <c r="F91" s="4"/>
      <c r="G91" s="4"/>
      <c r="H91" s="4"/>
      <c r="I91" s="4"/>
      <c r="J91" s="4"/>
      <c r="K91" s="4"/>
      <c r="L91" s="4"/>
      <c r="M91" s="4"/>
      <c r="N91" s="4"/>
      <c r="O91" s="4"/>
      <c r="P91" s="4"/>
      <c r="Q91" s="4"/>
      <c r="R91" s="4"/>
      <c r="S91" s="4"/>
      <c r="T91" s="4"/>
      <c r="U91" s="4"/>
      <c r="V91" s="4"/>
      <c r="W91" s="4"/>
      <c r="X91" s="4"/>
      <c r="Y91" s="4"/>
      <c r="Z91" s="4"/>
    </row>
    <row r="92" ht="14.25" customHeight="1">
      <c r="A92" s="71" t="str">
        <f t="shared" si="1"/>
        <v>#REF!</v>
      </c>
      <c r="B92" s="71" t="str">
        <f t="shared" si="2"/>
        <v>#REF!</v>
      </c>
      <c r="C92" s="71" t="str">
        <f t="shared" si="3"/>
        <v>#REF!</v>
      </c>
      <c r="D92" s="60" t="str">
        <f t="shared" si="4"/>
        <v>#REF!</v>
      </c>
      <c r="E92" s="62" t="str">
        <f t="shared" si="5"/>
        <v>#REF!</v>
      </c>
      <c r="F92" s="4"/>
      <c r="G92" s="4"/>
      <c r="H92" s="4"/>
      <c r="I92" s="4"/>
      <c r="J92" s="4"/>
      <c r="K92" s="4"/>
      <c r="L92" s="4"/>
      <c r="M92" s="4"/>
      <c r="N92" s="4"/>
      <c r="O92" s="4"/>
      <c r="P92" s="4"/>
      <c r="Q92" s="4"/>
      <c r="R92" s="4"/>
      <c r="S92" s="4"/>
      <c r="T92" s="4"/>
      <c r="U92" s="4"/>
      <c r="V92" s="4"/>
      <c r="W92" s="4"/>
      <c r="X92" s="4"/>
      <c r="Y92" s="4"/>
      <c r="Z92" s="4"/>
    </row>
    <row r="93" ht="14.25" customHeight="1">
      <c r="A93" s="71" t="str">
        <f t="shared" si="1"/>
        <v>#REF!</v>
      </c>
      <c r="B93" s="71" t="str">
        <f t="shared" si="2"/>
        <v>#REF!</v>
      </c>
      <c r="C93" s="71" t="str">
        <f t="shared" si="3"/>
        <v>#REF!</v>
      </c>
      <c r="D93" s="60" t="str">
        <f t="shared" si="4"/>
        <v>#REF!</v>
      </c>
      <c r="E93" s="62" t="str">
        <f t="shared" si="5"/>
        <v>#REF!</v>
      </c>
      <c r="F93" s="4"/>
      <c r="G93" s="4"/>
      <c r="H93" s="4"/>
      <c r="I93" s="4"/>
      <c r="J93" s="4"/>
      <c r="K93" s="4"/>
      <c r="L93" s="4"/>
      <c r="M93" s="4"/>
      <c r="N93" s="4"/>
      <c r="O93" s="4"/>
      <c r="P93" s="4"/>
      <c r="Q93" s="4"/>
      <c r="R93" s="4"/>
      <c r="S93" s="4"/>
      <c r="T93" s="4"/>
      <c r="U93" s="4"/>
      <c r="V93" s="4"/>
      <c r="W93" s="4"/>
      <c r="X93" s="4"/>
      <c r="Y93" s="4"/>
      <c r="Z93" s="4"/>
    </row>
    <row r="94" ht="14.25" customHeight="1">
      <c r="A94" s="71" t="str">
        <f t="shared" si="1"/>
        <v>#REF!</v>
      </c>
      <c r="B94" s="71" t="str">
        <f t="shared" si="2"/>
        <v>#REF!</v>
      </c>
      <c r="C94" s="71" t="str">
        <f t="shared" si="3"/>
        <v>#REF!</v>
      </c>
      <c r="D94" s="60" t="str">
        <f t="shared" si="4"/>
        <v>#REF!</v>
      </c>
      <c r="E94" s="62" t="str">
        <f t="shared" si="5"/>
        <v>#REF!</v>
      </c>
      <c r="F94" s="4"/>
      <c r="G94" s="4"/>
      <c r="H94" s="4"/>
      <c r="I94" s="4"/>
      <c r="J94" s="4"/>
      <c r="K94" s="4"/>
      <c r="L94" s="4"/>
      <c r="M94" s="4"/>
      <c r="N94" s="4"/>
      <c r="O94" s="4"/>
      <c r="P94" s="4"/>
      <c r="Q94" s="4"/>
      <c r="R94" s="4"/>
      <c r="S94" s="4"/>
      <c r="T94" s="4"/>
      <c r="U94" s="4"/>
      <c r="V94" s="4"/>
      <c r="W94" s="4"/>
      <c r="X94" s="4"/>
      <c r="Y94" s="4"/>
      <c r="Z94" s="4"/>
    </row>
    <row r="95" ht="14.25" customHeight="1">
      <c r="A95" s="71" t="str">
        <f t="shared" si="1"/>
        <v>#REF!</v>
      </c>
      <c r="B95" s="71" t="str">
        <f t="shared" si="2"/>
        <v>#REF!</v>
      </c>
      <c r="C95" s="71" t="str">
        <f t="shared" si="3"/>
        <v>#REF!</v>
      </c>
      <c r="D95" s="60" t="str">
        <f t="shared" si="4"/>
        <v>#REF!</v>
      </c>
      <c r="E95" s="62" t="str">
        <f t="shared" si="5"/>
        <v>#REF!</v>
      </c>
      <c r="F95" s="4"/>
      <c r="G95" s="4"/>
      <c r="H95" s="4"/>
      <c r="I95" s="4"/>
      <c r="J95" s="4"/>
      <c r="K95" s="4"/>
      <c r="L95" s="4"/>
      <c r="M95" s="4"/>
      <c r="N95" s="4"/>
      <c r="O95" s="4"/>
      <c r="P95" s="4"/>
      <c r="Q95" s="4"/>
      <c r="R95" s="4"/>
      <c r="S95" s="4"/>
      <c r="T95" s="4"/>
      <c r="U95" s="4"/>
      <c r="V95" s="4"/>
      <c r="W95" s="4"/>
      <c r="X95" s="4"/>
      <c r="Y95" s="4"/>
      <c r="Z95" s="4"/>
    </row>
    <row r="96" ht="14.25" customHeight="1">
      <c r="A96" s="71" t="str">
        <f t="shared" si="1"/>
        <v>#REF!</v>
      </c>
      <c r="B96" s="71" t="str">
        <f t="shared" si="2"/>
        <v>#REF!</v>
      </c>
      <c r="C96" s="71" t="str">
        <f t="shared" si="3"/>
        <v>#REF!</v>
      </c>
      <c r="D96" s="60" t="str">
        <f t="shared" si="4"/>
        <v>#REF!</v>
      </c>
      <c r="E96" s="62" t="str">
        <f t="shared" si="5"/>
        <v>#REF!</v>
      </c>
      <c r="F96" s="4"/>
      <c r="G96" s="4"/>
      <c r="H96" s="4"/>
      <c r="I96" s="4"/>
      <c r="J96" s="4"/>
      <c r="K96" s="4"/>
      <c r="L96" s="4"/>
      <c r="M96" s="4"/>
      <c r="N96" s="4"/>
      <c r="O96" s="4"/>
      <c r="P96" s="4"/>
      <c r="Q96" s="4"/>
      <c r="R96" s="4"/>
      <c r="S96" s="4"/>
      <c r="T96" s="4"/>
      <c r="U96" s="4"/>
      <c r="V96" s="4"/>
      <c r="W96" s="4"/>
      <c r="X96" s="4"/>
      <c r="Y96" s="4"/>
      <c r="Z96" s="4"/>
    </row>
    <row r="97" ht="14.25" customHeight="1">
      <c r="A97" s="71" t="str">
        <f t="shared" si="1"/>
        <v>#REF!</v>
      </c>
      <c r="B97" s="71" t="str">
        <f t="shared" si="2"/>
        <v>#REF!</v>
      </c>
      <c r="C97" s="71" t="str">
        <f t="shared" si="3"/>
        <v>#REF!</v>
      </c>
      <c r="D97" s="60" t="str">
        <f t="shared" si="4"/>
        <v>#REF!</v>
      </c>
      <c r="E97" s="62" t="str">
        <f t="shared" si="5"/>
        <v>#REF!</v>
      </c>
      <c r="F97" s="4"/>
      <c r="G97" s="4"/>
      <c r="H97" s="4"/>
      <c r="I97" s="4"/>
      <c r="J97" s="4"/>
      <c r="K97" s="4"/>
      <c r="L97" s="4"/>
      <c r="M97" s="4"/>
      <c r="N97" s="4"/>
      <c r="O97" s="4"/>
      <c r="P97" s="4"/>
      <c r="Q97" s="4"/>
      <c r="R97" s="4"/>
      <c r="S97" s="4"/>
      <c r="T97" s="4"/>
      <c r="U97" s="4"/>
      <c r="V97" s="4"/>
      <c r="W97" s="4"/>
      <c r="X97" s="4"/>
      <c r="Y97" s="4"/>
      <c r="Z97" s="4"/>
    </row>
    <row r="98" ht="14.25" customHeight="1">
      <c r="A98" s="71" t="str">
        <f t="shared" si="1"/>
        <v>#REF!</v>
      </c>
      <c r="B98" s="71" t="str">
        <f t="shared" si="2"/>
        <v>#REF!</v>
      </c>
      <c r="C98" s="71" t="str">
        <f t="shared" si="3"/>
        <v>#REF!</v>
      </c>
      <c r="D98" s="60" t="str">
        <f t="shared" si="4"/>
        <v>#REF!</v>
      </c>
      <c r="E98" s="62" t="str">
        <f t="shared" si="5"/>
        <v>#REF!</v>
      </c>
      <c r="F98" s="4"/>
      <c r="G98" s="4"/>
      <c r="H98" s="4"/>
      <c r="I98" s="4"/>
      <c r="J98" s="4"/>
      <c r="K98" s="4"/>
      <c r="L98" s="4"/>
      <c r="M98" s="4"/>
      <c r="N98" s="4"/>
      <c r="O98" s="4"/>
      <c r="P98" s="4"/>
      <c r="Q98" s="4"/>
      <c r="R98" s="4"/>
      <c r="S98" s="4"/>
      <c r="T98" s="4"/>
      <c r="U98" s="4"/>
      <c r="V98" s="4"/>
      <c r="W98" s="4"/>
      <c r="X98" s="4"/>
      <c r="Y98" s="4"/>
      <c r="Z98" s="4"/>
    </row>
    <row r="99" ht="14.25" customHeight="1">
      <c r="A99" s="71" t="str">
        <f t="shared" si="1"/>
        <v>#REF!</v>
      </c>
      <c r="B99" s="71" t="str">
        <f t="shared" si="2"/>
        <v>#REF!</v>
      </c>
      <c r="C99" s="71" t="str">
        <f t="shared" si="3"/>
        <v>#REF!</v>
      </c>
      <c r="D99" s="60" t="str">
        <f t="shared" si="4"/>
        <v>#REF!</v>
      </c>
      <c r="E99" s="62" t="str">
        <f t="shared" si="5"/>
        <v>#REF!</v>
      </c>
      <c r="F99" s="4"/>
      <c r="G99" s="4"/>
      <c r="H99" s="4"/>
      <c r="I99" s="4"/>
      <c r="J99" s="4"/>
      <c r="K99" s="4"/>
      <c r="L99" s="4"/>
      <c r="M99" s="4"/>
      <c r="N99" s="4"/>
      <c r="O99" s="4"/>
      <c r="P99" s="4"/>
      <c r="Q99" s="4"/>
      <c r="R99" s="4"/>
      <c r="S99" s="4"/>
      <c r="T99" s="4"/>
      <c r="U99" s="4"/>
      <c r="V99" s="4"/>
      <c r="W99" s="4"/>
      <c r="X99" s="4"/>
      <c r="Y99" s="4"/>
      <c r="Z99" s="4"/>
    </row>
    <row r="100" ht="14.25" customHeight="1">
      <c r="A100" s="71" t="str">
        <f t="shared" si="1"/>
        <v>#REF!</v>
      </c>
      <c r="B100" s="71" t="str">
        <f t="shared" si="2"/>
        <v>#REF!</v>
      </c>
      <c r="C100" s="71" t="str">
        <f t="shared" si="3"/>
        <v>#REF!</v>
      </c>
      <c r="D100" s="60" t="str">
        <f t="shared" si="4"/>
        <v>#REF!</v>
      </c>
      <c r="E100" s="62" t="str">
        <f t="shared" si="5"/>
        <v>#REF!</v>
      </c>
      <c r="F100" s="4"/>
      <c r="G100" s="4"/>
      <c r="H100" s="4"/>
      <c r="I100" s="4"/>
      <c r="J100" s="4"/>
      <c r="K100" s="4"/>
      <c r="L100" s="4"/>
      <c r="M100" s="4"/>
      <c r="N100" s="4"/>
      <c r="O100" s="4"/>
      <c r="P100" s="4"/>
      <c r="Q100" s="4"/>
      <c r="R100" s="4"/>
      <c r="S100" s="4"/>
      <c r="T100" s="4"/>
      <c r="U100" s="4"/>
      <c r="V100" s="4"/>
      <c r="W100" s="4"/>
      <c r="X100" s="4"/>
      <c r="Y100" s="4"/>
      <c r="Z100" s="4"/>
    </row>
    <row r="101" ht="14.25" customHeight="1">
      <c r="A101" s="71" t="str">
        <f t="shared" si="1"/>
        <v>#REF!</v>
      </c>
      <c r="B101" s="71" t="str">
        <f t="shared" si="2"/>
        <v>#REF!</v>
      </c>
      <c r="C101" s="71" t="str">
        <f t="shared" si="3"/>
        <v>#REF!</v>
      </c>
      <c r="D101" s="60" t="str">
        <f t="shared" si="4"/>
        <v>#REF!</v>
      </c>
      <c r="E101" s="62" t="str">
        <f t="shared" si="5"/>
        <v>#REF!</v>
      </c>
      <c r="F101" s="4"/>
      <c r="G101" s="4"/>
      <c r="H101" s="4"/>
      <c r="I101" s="4"/>
      <c r="J101" s="4"/>
      <c r="K101" s="4"/>
      <c r="L101" s="4"/>
      <c r="M101" s="4"/>
      <c r="N101" s="4"/>
      <c r="O101" s="4"/>
      <c r="P101" s="4"/>
      <c r="Q101" s="4"/>
      <c r="R101" s="4"/>
      <c r="S101" s="4"/>
      <c r="T101" s="4"/>
      <c r="U101" s="4"/>
      <c r="V101" s="4"/>
      <c r="W101" s="4"/>
      <c r="X101" s="4"/>
      <c r="Y101" s="4"/>
      <c r="Z101" s="4"/>
    </row>
    <row r="102" ht="14.25" customHeight="1">
      <c r="A102" s="71" t="str">
        <f t="shared" si="1"/>
        <v>#REF!</v>
      </c>
      <c r="B102" s="71" t="str">
        <f t="shared" si="2"/>
        <v>#REF!</v>
      </c>
      <c r="C102" s="71" t="str">
        <f t="shared" si="3"/>
        <v>#REF!</v>
      </c>
      <c r="D102" s="60" t="str">
        <f t="shared" si="4"/>
        <v>#REF!</v>
      </c>
      <c r="E102" s="62" t="str">
        <f t="shared" si="5"/>
        <v>#REF!</v>
      </c>
      <c r="F102" s="4"/>
      <c r="G102" s="4"/>
      <c r="H102" s="4"/>
      <c r="I102" s="4"/>
      <c r="J102" s="4"/>
      <c r="K102" s="4"/>
      <c r="L102" s="4"/>
      <c r="M102" s="4"/>
      <c r="N102" s="4"/>
      <c r="O102" s="4"/>
      <c r="P102" s="4"/>
      <c r="Q102" s="4"/>
      <c r="R102" s="4"/>
      <c r="S102" s="4"/>
      <c r="T102" s="4"/>
      <c r="U102" s="4"/>
      <c r="V102" s="4"/>
      <c r="W102" s="4"/>
      <c r="X102" s="4"/>
      <c r="Y102" s="4"/>
      <c r="Z102" s="4"/>
    </row>
    <row r="103" ht="14.25" customHeight="1">
      <c r="A103" s="71" t="str">
        <f t="shared" si="1"/>
        <v>#REF!</v>
      </c>
      <c r="B103" s="71" t="str">
        <f t="shared" si="2"/>
        <v>#REF!</v>
      </c>
      <c r="C103" s="71" t="str">
        <f t="shared" si="3"/>
        <v>#REF!</v>
      </c>
      <c r="D103" s="60" t="str">
        <f t="shared" si="4"/>
        <v>#REF!</v>
      </c>
      <c r="E103" s="62" t="str">
        <f t="shared" si="5"/>
        <v>#REF!</v>
      </c>
      <c r="F103" s="4"/>
      <c r="G103" s="4"/>
      <c r="H103" s="4"/>
      <c r="I103" s="4"/>
      <c r="J103" s="4"/>
      <c r="K103" s="4"/>
      <c r="L103" s="4"/>
      <c r="M103" s="4"/>
      <c r="N103" s="4"/>
      <c r="O103" s="4"/>
      <c r="P103" s="4"/>
      <c r="Q103" s="4"/>
      <c r="R103" s="4"/>
      <c r="S103" s="4"/>
      <c r="T103" s="4"/>
      <c r="U103" s="4"/>
      <c r="V103" s="4"/>
      <c r="W103" s="4"/>
      <c r="X103" s="4"/>
      <c r="Y103" s="4"/>
      <c r="Z103" s="4"/>
    </row>
    <row r="104" ht="14.25" customHeight="1">
      <c r="A104" s="71" t="str">
        <f t="shared" si="1"/>
        <v>#REF!</v>
      </c>
      <c r="B104" s="71" t="str">
        <f t="shared" si="2"/>
        <v>#REF!</v>
      </c>
      <c r="C104" s="71" t="str">
        <f t="shared" si="3"/>
        <v>#REF!</v>
      </c>
      <c r="D104" s="60" t="str">
        <f t="shared" si="4"/>
        <v>#REF!</v>
      </c>
      <c r="E104" s="62" t="str">
        <f t="shared" si="5"/>
        <v>#REF!</v>
      </c>
      <c r="F104" s="4"/>
      <c r="G104" s="4"/>
      <c r="H104" s="4"/>
      <c r="I104" s="4"/>
      <c r="J104" s="4"/>
      <c r="K104" s="4"/>
      <c r="L104" s="4"/>
      <c r="M104" s="4"/>
      <c r="N104" s="4"/>
      <c r="O104" s="4"/>
      <c r="P104" s="4"/>
      <c r="Q104" s="4"/>
      <c r="R104" s="4"/>
      <c r="S104" s="4"/>
      <c r="T104" s="4"/>
      <c r="U104" s="4"/>
      <c r="V104" s="4"/>
      <c r="W104" s="4"/>
      <c r="X104" s="4"/>
      <c r="Y104" s="4"/>
      <c r="Z104" s="4"/>
    </row>
    <row r="105" ht="14.25" customHeight="1">
      <c r="A105" s="71" t="str">
        <f t="shared" si="1"/>
        <v>#REF!</v>
      </c>
      <c r="B105" s="71" t="str">
        <f t="shared" si="2"/>
        <v>#REF!</v>
      </c>
      <c r="C105" s="71" t="str">
        <f t="shared" si="3"/>
        <v>#REF!</v>
      </c>
      <c r="D105" s="60" t="str">
        <f t="shared" si="4"/>
        <v>#REF!</v>
      </c>
      <c r="E105" s="62" t="str">
        <f t="shared" si="5"/>
        <v>#REF!</v>
      </c>
      <c r="F105" s="4"/>
      <c r="G105" s="4"/>
      <c r="H105" s="4"/>
      <c r="I105" s="4"/>
      <c r="J105" s="4"/>
      <c r="K105" s="4"/>
      <c r="L105" s="4"/>
      <c r="M105" s="4"/>
      <c r="N105" s="4"/>
      <c r="O105" s="4"/>
      <c r="P105" s="4"/>
      <c r="Q105" s="4"/>
      <c r="R105" s="4"/>
      <c r="S105" s="4"/>
      <c r="T105" s="4"/>
      <c r="U105" s="4"/>
      <c r="V105" s="4"/>
      <c r="W105" s="4"/>
      <c r="X105" s="4"/>
      <c r="Y105" s="4"/>
      <c r="Z105" s="4"/>
    </row>
    <row r="106" ht="14.25" customHeight="1">
      <c r="A106" s="71" t="str">
        <f t="shared" si="1"/>
        <v>#REF!</v>
      </c>
      <c r="B106" s="71" t="str">
        <f t="shared" si="2"/>
        <v>#REF!</v>
      </c>
      <c r="C106" s="71" t="str">
        <f t="shared" si="3"/>
        <v>#REF!</v>
      </c>
      <c r="D106" s="60" t="str">
        <f t="shared" si="4"/>
        <v>#REF!</v>
      </c>
      <c r="E106" s="62" t="str">
        <f t="shared" si="5"/>
        <v>#REF!</v>
      </c>
      <c r="F106" s="4"/>
      <c r="G106" s="4"/>
      <c r="H106" s="4"/>
      <c r="I106" s="4"/>
      <c r="J106" s="4"/>
      <c r="K106" s="4"/>
      <c r="L106" s="4"/>
      <c r="M106" s="4"/>
      <c r="N106" s="4"/>
      <c r="O106" s="4"/>
      <c r="P106" s="4"/>
      <c r="Q106" s="4"/>
      <c r="R106" s="4"/>
      <c r="S106" s="4"/>
      <c r="T106" s="4"/>
      <c r="U106" s="4"/>
      <c r="V106" s="4"/>
      <c r="W106" s="4"/>
      <c r="X106" s="4"/>
      <c r="Y106" s="4"/>
      <c r="Z106" s="4"/>
    </row>
    <row r="107" ht="14.25" customHeight="1">
      <c r="A107" s="71" t="str">
        <f t="shared" si="1"/>
        <v>#REF!</v>
      </c>
      <c r="B107" s="71" t="str">
        <f t="shared" si="2"/>
        <v>#REF!</v>
      </c>
      <c r="C107" s="71" t="str">
        <f t="shared" si="3"/>
        <v>#REF!</v>
      </c>
      <c r="D107" s="60" t="str">
        <f t="shared" si="4"/>
        <v>#REF!</v>
      </c>
      <c r="E107" s="62" t="str">
        <f t="shared" si="5"/>
        <v>#REF!</v>
      </c>
      <c r="F107" s="4"/>
      <c r="G107" s="4"/>
      <c r="H107" s="4"/>
      <c r="I107" s="4"/>
      <c r="J107" s="4"/>
      <c r="K107" s="4"/>
      <c r="L107" s="4"/>
      <c r="M107" s="4"/>
      <c r="N107" s="4"/>
      <c r="O107" s="4"/>
      <c r="P107" s="4"/>
      <c r="Q107" s="4"/>
      <c r="R107" s="4"/>
      <c r="S107" s="4"/>
      <c r="T107" s="4"/>
      <c r="U107" s="4"/>
      <c r="V107" s="4"/>
      <c r="W107" s="4"/>
      <c r="X107" s="4"/>
      <c r="Y107" s="4"/>
      <c r="Z107" s="4"/>
    </row>
    <row r="108" ht="14.25" customHeight="1">
      <c r="A108" s="71" t="str">
        <f t="shared" si="1"/>
        <v>#REF!</v>
      </c>
      <c r="B108" s="71" t="str">
        <f t="shared" si="2"/>
        <v>#REF!</v>
      </c>
      <c r="C108" s="71" t="str">
        <f t="shared" si="3"/>
        <v>#REF!</v>
      </c>
      <c r="D108" s="60" t="str">
        <f t="shared" si="4"/>
        <v>#REF!</v>
      </c>
      <c r="E108" s="62" t="str">
        <f t="shared" si="5"/>
        <v>#REF!</v>
      </c>
      <c r="F108" s="4"/>
      <c r="G108" s="4"/>
      <c r="H108" s="4"/>
      <c r="I108" s="4"/>
      <c r="J108" s="4"/>
      <c r="K108" s="4"/>
      <c r="L108" s="4"/>
      <c r="M108" s="4"/>
      <c r="N108" s="4"/>
      <c r="O108" s="4"/>
      <c r="P108" s="4"/>
      <c r="Q108" s="4"/>
      <c r="R108" s="4"/>
      <c r="S108" s="4"/>
      <c r="T108" s="4"/>
      <c r="U108" s="4"/>
      <c r="V108" s="4"/>
      <c r="W108" s="4"/>
      <c r="X108" s="4"/>
      <c r="Y108" s="4"/>
      <c r="Z108" s="4"/>
    </row>
    <row r="109" ht="14.25" customHeight="1">
      <c r="A109" s="71" t="str">
        <f t="shared" si="1"/>
        <v>#REF!</v>
      </c>
      <c r="B109" s="71" t="str">
        <f t="shared" si="2"/>
        <v>#REF!</v>
      </c>
      <c r="C109" s="71" t="str">
        <f t="shared" si="3"/>
        <v>#REF!</v>
      </c>
      <c r="D109" s="60" t="str">
        <f t="shared" si="4"/>
        <v>#REF!</v>
      </c>
      <c r="E109" s="62" t="str">
        <f t="shared" si="5"/>
        <v>#REF!</v>
      </c>
      <c r="F109" s="4"/>
      <c r="G109" s="4"/>
      <c r="H109" s="4"/>
      <c r="I109" s="4"/>
      <c r="J109" s="4"/>
      <c r="K109" s="4"/>
      <c r="L109" s="4"/>
      <c r="M109" s="4"/>
      <c r="N109" s="4"/>
      <c r="O109" s="4"/>
      <c r="P109" s="4"/>
      <c r="Q109" s="4"/>
      <c r="R109" s="4"/>
      <c r="S109" s="4"/>
      <c r="T109" s="4"/>
      <c r="U109" s="4"/>
      <c r="V109" s="4"/>
      <c r="W109" s="4"/>
      <c r="X109" s="4"/>
      <c r="Y109" s="4"/>
      <c r="Z109" s="4"/>
    </row>
    <row r="110" ht="14.25" customHeight="1">
      <c r="A110" s="71" t="str">
        <f t="shared" si="1"/>
        <v>#REF!</v>
      </c>
      <c r="B110" s="71" t="str">
        <f t="shared" si="2"/>
        <v>#REF!</v>
      </c>
      <c r="C110" s="71" t="str">
        <f t="shared" si="3"/>
        <v>#REF!</v>
      </c>
      <c r="D110" s="60" t="str">
        <f t="shared" si="4"/>
        <v>#REF!</v>
      </c>
      <c r="E110" s="62" t="str">
        <f t="shared" si="5"/>
        <v>#REF!</v>
      </c>
      <c r="F110" s="4"/>
      <c r="G110" s="4"/>
      <c r="H110" s="4"/>
      <c r="I110" s="4"/>
      <c r="J110" s="4"/>
      <c r="K110" s="4"/>
      <c r="L110" s="4"/>
      <c r="M110" s="4"/>
      <c r="N110" s="4"/>
      <c r="O110" s="4"/>
      <c r="P110" s="4"/>
      <c r="Q110" s="4"/>
      <c r="R110" s="4"/>
      <c r="S110" s="4"/>
      <c r="T110" s="4"/>
      <c r="U110" s="4"/>
      <c r="V110" s="4"/>
      <c r="W110" s="4"/>
      <c r="X110" s="4"/>
      <c r="Y110" s="4"/>
      <c r="Z110" s="4"/>
    </row>
    <row r="111" ht="14.25" customHeight="1">
      <c r="A111" s="71" t="str">
        <f t="shared" si="1"/>
        <v>#REF!</v>
      </c>
      <c r="B111" s="71" t="str">
        <f t="shared" si="2"/>
        <v>#REF!</v>
      </c>
      <c r="C111" s="71" t="str">
        <f t="shared" si="3"/>
        <v>#REF!</v>
      </c>
      <c r="D111" s="60" t="str">
        <f t="shared" si="4"/>
        <v>#REF!</v>
      </c>
      <c r="E111" s="62" t="str">
        <f t="shared" si="5"/>
        <v>#REF!</v>
      </c>
      <c r="F111" s="4"/>
      <c r="G111" s="4"/>
      <c r="H111" s="4"/>
      <c r="I111" s="4"/>
      <c r="J111" s="4"/>
      <c r="K111" s="4"/>
      <c r="L111" s="4"/>
      <c r="M111" s="4"/>
      <c r="N111" s="4"/>
      <c r="O111" s="4"/>
      <c r="P111" s="4"/>
      <c r="Q111" s="4"/>
      <c r="R111" s="4"/>
      <c r="S111" s="4"/>
      <c r="T111" s="4"/>
      <c r="U111" s="4"/>
      <c r="V111" s="4"/>
      <c r="W111" s="4"/>
      <c r="X111" s="4"/>
      <c r="Y111" s="4"/>
      <c r="Z111" s="4"/>
    </row>
    <row r="112" ht="14.25" customHeight="1">
      <c r="A112" s="71" t="str">
        <f t="shared" si="1"/>
        <v>#REF!</v>
      </c>
      <c r="B112" s="71" t="str">
        <f t="shared" si="2"/>
        <v>#REF!</v>
      </c>
      <c r="C112" s="71" t="str">
        <f t="shared" si="3"/>
        <v>#REF!</v>
      </c>
      <c r="D112" s="60" t="str">
        <f t="shared" si="4"/>
        <v>#REF!</v>
      </c>
      <c r="E112" s="62" t="str">
        <f t="shared" si="5"/>
        <v>#REF!</v>
      </c>
      <c r="F112" s="4"/>
      <c r="G112" s="4"/>
      <c r="H112" s="4"/>
      <c r="I112" s="4"/>
      <c r="J112" s="4"/>
      <c r="K112" s="4"/>
      <c r="L112" s="4"/>
      <c r="M112" s="4"/>
      <c r="N112" s="4"/>
      <c r="O112" s="4"/>
      <c r="P112" s="4"/>
      <c r="Q112" s="4"/>
      <c r="R112" s="4"/>
      <c r="S112" s="4"/>
      <c r="T112" s="4"/>
      <c r="U112" s="4"/>
      <c r="V112" s="4"/>
      <c r="W112" s="4"/>
      <c r="X112" s="4"/>
      <c r="Y112" s="4"/>
      <c r="Z112" s="4"/>
    </row>
    <row r="113" ht="14.25" customHeight="1">
      <c r="A113" s="71" t="str">
        <f t="shared" si="1"/>
        <v>#REF!</v>
      </c>
      <c r="B113" s="71" t="str">
        <f t="shared" si="2"/>
        <v>#REF!</v>
      </c>
      <c r="C113" s="71" t="str">
        <f t="shared" si="3"/>
        <v>#REF!</v>
      </c>
      <c r="D113" s="60" t="str">
        <f t="shared" si="4"/>
        <v>#REF!</v>
      </c>
      <c r="E113" s="62" t="str">
        <f t="shared" si="5"/>
        <v>#REF!</v>
      </c>
      <c r="F113" s="4"/>
      <c r="G113" s="4"/>
      <c r="H113" s="4"/>
      <c r="I113" s="4"/>
      <c r="J113" s="4"/>
      <c r="K113" s="4"/>
      <c r="L113" s="4"/>
      <c r="M113" s="4"/>
      <c r="N113" s="4"/>
      <c r="O113" s="4"/>
      <c r="P113" s="4"/>
      <c r="Q113" s="4"/>
      <c r="R113" s="4"/>
      <c r="S113" s="4"/>
      <c r="T113" s="4"/>
      <c r="U113" s="4"/>
      <c r="V113" s="4"/>
      <c r="W113" s="4"/>
      <c r="X113" s="4"/>
      <c r="Y113" s="4"/>
      <c r="Z113" s="4"/>
    </row>
    <row r="114" ht="14.25" customHeight="1">
      <c r="A114" s="71" t="str">
        <f t="shared" si="1"/>
        <v>#REF!</v>
      </c>
      <c r="B114" s="71" t="str">
        <f t="shared" si="2"/>
        <v>#REF!</v>
      </c>
      <c r="C114" s="71" t="str">
        <f t="shared" si="3"/>
        <v>#REF!</v>
      </c>
      <c r="D114" s="60" t="str">
        <f t="shared" si="4"/>
        <v>#REF!</v>
      </c>
      <c r="E114" s="62" t="str">
        <f t="shared" si="5"/>
        <v>#REF!</v>
      </c>
      <c r="F114" s="4"/>
      <c r="G114" s="4"/>
      <c r="H114" s="4"/>
      <c r="I114" s="4"/>
      <c r="J114" s="4"/>
      <c r="K114" s="4"/>
      <c r="L114" s="4"/>
      <c r="M114" s="4"/>
      <c r="N114" s="4"/>
      <c r="O114" s="4"/>
      <c r="P114" s="4"/>
      <c r="Q114" s="4"/>
      <c r="R114" s="4"/>
      <c r="S114" s="4"/>
      <c r="T114" s="4"/>
      <c r="U114" s="4"/>
      <c r="V114" s="4"/>
      <c r="W114" s="4"/>
      <c r="X114" s="4"/>
      <c r="Y114" s="4"/>
      <c r="Z114" s="4"/>
    </row>
    <row r="115" ht="14.25" customHeight="1">
      <c r="A115" s="71" t="str">
        <f t="shared" si="1"/>
        <v>#REF!</v>
      </c>
      <c r="B115" s="71" t="str">
        <f t="shared" si="2"/>
        <v>#REF!</v>
      </c>
      <c r="C115" s="71" t="str">
        <f t="shared" si="3"/>
        <v>#REF!</v>
      </c>
      <c r="D115" s="60" t="str">
        <f t="shared" si="4"/>
        <v>#REF!</v>
      </c>
      <c r="E115" s="62" t="str">
        <f t="shared" si="5"/>
        <v>#REF!</v>
      </c>
      <c r="F115" s="4"/>
      <c r="G115" s="4"/>
      <c r="H115" s="4"/>
      <c r="I115" s="4"/>
      <c r="J115" s="4"/>
      <c r="K115" s="4"/>
      <c r="L115" s="4"/>
      <c r="M115" s="4"/>
      <c r="N115" s="4"/>
      <c r="O115" s="4"/>
      <c r="P115" s="4"/>
      <c r="Q115" s="4"/>
      <c r="R115" s="4"/>
      <c r="S115" s="4"/>
      <c r="T115" s="4"/>
      <c r="U115" s="4"/>
      <c r="V115" s="4"/>
      <c r="W115" s="4"/>
      <c r="X115" s="4"/>
      <c r="Y115" s="4"/>
      <c r="Z115" s="4"/>
    </row>
    <row r="116" ht="14.25" customHeight="1">
      <c r="A116" s="71" t="str">
        <f t="shared" si="1"/>
        <v>#REF!</v>
      </c>
      <c r="B116" s="71" t="str">
        <f t="shared" si="2"/>
        <v>#REF!</v>
      </c>
      <c r="C116" s="71" t="str">
        <f t="shared" si="3"/>
        <v>#REF!</v>
      </c>
      <c r="D116" s="60" t="str">
        <f t="shared" si="4"/>
        <v>#REF!</v>
      </c>
      <c r="E116" s="62" t="str">
        <f t="shared" si="5"/>
        <v>#REF!</v>
      </c>
      <c r="F116" s="4"/>
      <c r="G116" s="4"/>
      <c r="H116" s="4"/>
      <c r="I116" s="4"/>
      <c r="J116" s="4"/>
      <c r="K116" s="4"/>
      <c r="L116" s="4"/>
      <c r="M116" s="4"/>
      <c r="N116" s="4"/>
      <c r="O116" s="4"/>
      <c r="P116" s="4"/>
      <c r="Q116" s="4"/>
      <c r="R116" s="4"/>
      <c r="S116" s="4"/>
      <c r="T116" s="4"/>
      <c r="U116" s="4"/>
      <c r="V116" s="4"/>
      <c r="W116" s="4"/>
      <c r="X116" s="4"/>
      <c r="Y116" s="4"/>
      <c r="Z116" s="4"/>
    </row>
    <row r="117" ht="14.25" customHeight="1">
      <c r="A117" s="71" t="str">
        <f t="shared" si="1"/>
        <v>#REF!</v>
      </c>
      <c r="B117" s="71" t="str">
        <f t="shared" si="2"/>
        <v>#REF!</v>
      </c>
      <c r="C117" s="71" t="str">
        <f t="shared" si="3"/>
        <v>#REF!</v>
      </c>
      <c r="D117" s="60" t="str">
        <f t="shared" si="4"/>
        <v>#REF!</v>
      </c>
      <c r="E117" s="62" t="str">
        <f t="shared" si="5"/>
        <v>#REF!</v>
      </c>
      <c r="F117" s="4"/>
      <c r="G117" s="4"/>
      <c r="H117" s="4"/>
      <c r="I117" s="4"/>
      <c r="J117" s="4"/>
      <c r="K117" s="4"/>
      <c r="L117" s="4"/>
      <c r="M117" s="4"/>
      <c r="N117" s="4"/>
      <c r="O117" s="4"/>
      <c r="P117" s="4"/>
      <c r="Q117" s="4"/>
      <c r="R117" s="4"/>
      <c r="S117" s="4"/>
      <c r="T117" s="4"/>
      <c r="U117" s="4"/>
      <c r="V117" s="4"/>
      <c r="W117" s="4"/>
      <c r="X117" s="4"/>
      <c r="Y117" s="4"/>
      <c r="Z117" s="4"/>
    </row>
    <row r="118" ht="14.25" customHeight="1">
      <c r="A118" s="71" t="str">
        <f t="shared" si="1"/>
        <v>#REF!</v>
      </c>
      <c r="B118" s="71" t="str">
        <f t="shared" si="2"/>
        <v>#REF!</v>
      </c>
      <c r="C118" s="71" t="str">
        <f t="shared" si="3"/>
        <v>#REF!</v>
      </c>
      <c r="D118" s="60" t="str">
        <f t="shared" si="4"/>
        <v>#REF!</v>
      </c>
      <c r="E118" s="62" t="str">
        <f t="shared" si="5"/>
        <v>#REF!</v>
      </c>
      <c r="F118" s="4"/>
      <c r="G118" s="4"/>
      <c r="H118" s="4"/>
      <c r="I118" s="4"/>
      <c r="J118" s="4"/>
      <c r="K118" s="4"/>
      <c r="L118" s="4"/>
      <c r="M118" s="4"/>
      <c r="N118" s="4"/>
      <c r="O118" s="4"/>
      <c r="P118" s="4"/>
      <c r="Q118" s="4"/>
      <c r="R118" s="4"/>
      <c r="S118" s="4"/>
      <c r="T118" s="4"/>
      <c r="U118" s="4"/>
      <c r="V118" s="4"/>
      <c r="W118" s="4"/>
      <c r="X118" s="4"/>
      <c r="Y118" s="4"/>
      <c r="Z118" s="4"/>
    </row>
    <row r="119" ht="14.25" customHeight="1">
      <c r="A119" s="71" t="str">
        <f t="shared" si="1"/>
        <v>#REF!</v>
      </c>
      <c r="B119" s="71" t="str">
        <f t="shared" si="2"/>
        <v>#REF!</v>
      </c>
      <c r="C119" s="71" t="str">
        <f t="shared" si="3"/>
        <v>#REF!</v>
      </c>
      <c r="D119" s="60" t="str">
        <f t="shared" si="4"/>
        <v>#REF!</v>
      </c>
      <c r="E119" s="62" t="str">
        <f t="shared" si="5"/>
        <v>#REF!</v>
      </c>
      <c r="F119" s="4"/>
      <c r="G119" s="4"/>
      <c r="H119" s="4"/>
      <c r="I119" s="4"/>
      <c r="J119" s="4"/>
      <c r="K119" s="4"/>
      <c r="L119" s="4"/>
      <c r="M119" s="4"/>
      <c r="N119" s="4"/>
      <c r="O119" s="4"/>
      <c r="P119" s="4"/>
      <c r="Q119" s="4"/>
      <c r="R119" s="4"/>
      <c r="S119" s="4"/>
      <c r="T119" s="4"/>
      <c r="U119" s="4"/>
      <c r="V119" s="4"/>
      <c r="W119" s="4"/>
      <c r="X119" s="4"/>
      <c r="Y119" s="4"/>
      <c r="Z119" s="4"/>
    </row>
    <row r="120" ht="14.25" customHeight="1">
      <c r="A120" s="71" t="str">
        <f t="shared" si="1"/>
        <v>#REF!</v>
      </c>
      <c r="B120" s="71" t="str">
        <f t="shared" si="2"/>
        <v>#REF!</v>
      </c>
      <c r="C120" s="71" t="str">
        <f t="shared" si="3"/>
        <v>#REF!</v>
      </c>
      <c r="D120" s="60" t="str">
        <f t="shared" si="4"/>
        <v>#REF!</v>
      </c>
      <c r="E120" s="62" t="str">
        <f t="shared" si="5"/>
        <v>#REF!</v>
      </c>
      <c r="F120" s="4"/>
      <c r="G120" s="4"/>
      <c r="H120" s="4"/>
      <c r="I120" s="4"/>
      <c r="J120" s="4"/>
      <c r="K120" s="4"/>
      <c r="L120" s="4"/>
      <c r="M120" s="4"/>
      <c r="N120" s="4"/>
      <c r="O120" s="4"/>
      <c r="P120" s="4"/>
      <c r="Q120" s="4"/>
      <c r="R120" s="4"/>
      <c r="S120" s="4"/>
      <c r="T120" s="4"/>
      <c r="U120" s="4"/>
      <c r="V120" s="4"/>
      <c r="W120" s="4"/>
      <c r="X120" s="4"/>
      <c r="Y120" s="4"/>
      <c r="Z120" s="4"/>
    </row>
    <row r="121" ht="14.25" customHeight="1">
      <c r="A121" s="71" t="str">
        <f t="shared" si="1"/>
        <v>#REF!</v>
      </c>
      <c r="B121" s="71" t="str">
        <f t="shared" si="2"/>
        <v>#REF!</v>
      </c>
      <c r="C121" s="71" t="str">
        <f t="shared" si="3"/>
        <v>#REF!</v>
      </c>
      <c r="D121" s="60" t="str">
        <f t="shared" si="4"/>
        <v>#REF!</v>
      </c>
      <c r="E121" s="62" t="str">
        <f t="shared" si="5"/>
        <v>#REF!</v>
      </c>
      <c r="F121" s="4"/>
      <c r="G121" s="4"/>
      <c r="H121" s="4"/>
      <c r="I121" s="4"/>
      <c r="J121" s="4"/>
      <c r="K121" s="4"/>
      <c r="L121" s="4"/>
      <c r="M121" s="4"/>
      <c r="N121" s="4"/>
      <c r="O121" s="4"/>
      <c r="P121" s="4"/>
      <c r="Q121" s="4"/>
      <c r="R121" s="4"/>
      <c r="S121" s="4"/>
      <c r="T121" s="4"/>
      <c r="U121" s="4"/>
      <c r="V121" s="4"/>
      <c r="W121" s="4"/>
      <c r="X121" s="4"/>
      <c r="Y121" s="4"/>
      <c r="Z121" s="4"/>
    </row>
    <row r="122" ht="14.25" customHeight="1">
      <c r="A122" s="71" t="str">
        <f t="shared" si="1"/>
        <v>#REF!</v>
      </c>
      <c r="B122" s="71" t="str">
        <f t="shared" si="2"/>
        <v>#REF!</v>
      </c>
      <c r="C122" s="71" t="str">
        <f t="shared" si="3"/>
        <v>#REF!</v>
      </c>
      <c r="D122" s="60" t="str">
        <f t="shared" si="4"/>
        <v>#REF!</v>
      </c>
      <c r="E122" s="62" t="str">
        <f t="shared" si="5"/>
        <v>#REF!</v>
      </c>
      <c r="F122" s="4"/>
      <c r="G122" s="4"/>
      <c r="H122" s="4"/>
      <c r="I122" s="4"/>
      <c r="J122" s="4"/>
      <c r="K122" s="4"/>
      <c r="L122" s="4"/>
      <c r="M122" s="4"/>
      <c r="N122" s="4"/>
      <c r="O122" s="4"/>
      <c r="P122" s="4"/>
      <c r="Q122" s="4"/>
      <c r="R122" s="4"/>
      <c r="S122" s="4"/>
      <c r="T122" s="4"/>
      <c r="U122" s="4"/>
      <c r="V122" s="4"/>
      <c r="W122" s="4"/>
      <c r="X122" s="4"/>
      <c r="Y122" s="4"/>
      <c r="Z122" s="4"/>
    </row>
    <row r="123" ht="14.25" customHeight="1">
      <c r="A123" s="71" t="str">
        <f t="shared" si="1"/>
        <v>#REF!</v>
      </c>
      <c r="B123" s="71" t="str">
        <f t="shared" si="2"/>
        <v>#REF!</v>
      </c>
      <c r="C123" s="71" t="str">
        <f t="shared" si="3"/>
        <v>#REF!</v>
      </c>
      <c r="D123" s="60" t="str">
        <f t="shared" si="4"/>
        <v>#REF!</v>
      </c>
      <c r="E123" s="62" t="str">
        <f t="shared" si="5"/>
        <v>#REF!</v>
      </c>
      <c r="F123" s="4"/>
      <c r="G123" s="4"/>
      <c r="H123" s="4"/>
      <c r="I123" s="4"/>
      <c r="J123" s="4"/>
      <c r="K123" s="4"/>
      <c r="L123" s="4"/>
      <c r="M123" s="4"/>
      <c r="N123" s="4"/>
      <c r="O123" s="4"/>
      <c r="P123" s="4"/>
      <c r="Q123" s="4"/>
      <c r="R123" s="4"/>
      <c r="S123" s="4"/>
      <c r="T123" s="4"/>
      <c r="U123" s="4"/>
      <c r="V123" s="4"/>
      <c r="W123" s="4"/>
      <c r="X123" s="4"/>
      <c r="Y123" s="4"/>
      <c r="Z123" s="4"/>
    </row>
    <row r="124" ht="14.25" customHeight="1">
      <c r="A124" s="71" t="str">
        <f t="shared" si="1"/>
        <v>#REF!</v>
      </c>
      <c r="B124" s="71" t="str">
        <f t="shared" si="2"/>
        <v>#REF!</v>
      </c>
      <c r="C124" s="71" t="str">
        <f t="shared" si="3"/>
        <v>#REF!</v>
      </c>
      <c r="D124" s="60" t="str">
        <f t="shared" si="4"/>
        <v>#REF!</v>
      </c>
      <c r="E124" s="62" t="str">
        <f t="shared" si="5"/>
        <v>#REF!</v>
      </c>
      <c r="F124" s="4"/>
      <c r="G124" s="4"/>
      <c r="H124" s="4"/>
      <c r="I124" s="4"/>
      <c r="J124" s="4"/>
      <c r="K124" s="4"/>
      <c r="L124" s="4"/>
      <c r="M124" s="4"/>
      <c r="N124" s="4"/>
      <c r="O124" s="4"/>
      <c r="P124" s="4"/>
      <c r="Q124" s="4"/>
      <c r="R124" s="4"/>
      <c r="S124" s="4"/>
      <c r="T124" s="4"/>
      <c r="U124" s="4"/>
      <c r="V124" s="4"/>
      <c r="W124" s="4"/>
      <c r="X124" s="4"/>
      <c r="Y124" s="4"/>
      <c r="Z124" s="4"/>
    </row>
    <row r="125" ht="14.25" customHeight="1">
      <c r="A125" s="71" t="str">
        <f t="shared" si="1"/>
        <v>#REF!</v>
      </c>
      <c r="B125" s="71" t="str">
        <f t="shared" si="2"/>
        <v>#REF!</v>
      </c>
      <c r="C125" s="71" t="str">
        <f t="shared" si="3"/>
        <v>#REF!</v>
      </c>
      <c r="D125" s="60" t="str">
        <f t="shared" si="4"/>
        <v>#REF!</v>
      </c>
      <c r="E125" s="62" t="str">
        <f t="shared" si="5"/>
        <v>#REF!</v>
      </c>
      <c r="F125" s="4"/>
      <c r="G125" s="4"/>
      <c r="H125" s="4"/>
      <c r="I125" s="4"/>
      <c r="J125" s="4"/>
      <c r="K125" s="4"/>
      <c r="L125" s="4"/>
      <c r="M125" s="4"/>
      <c r="N125" s="4"/>
      <c r="O125" s="4"/>
      <c r="P125" s="4"/>
      <c r="Q125" s="4"/>
      <c r="R125" s="4"/>
      <c r="S125" s="4"/>
      <c r="T125" s="4"/>
      <c r="U125" s="4"/>
      <c r="V125" s="4"/>
      <c r="W125" s="4"/>
      <c r="X125" s="4"/>
      <c r="Y125" s="4"/>
      <c r="Z125" s="4"/>
    </row>
    <row r="126" ht="14.25" customHeight="1">
      <c r="A126" s="71" t="str">
        <f t="shared" si="1"/>
        <v>#REF!</v>
      </c>
      <c r="B126" s="71" t="str">
        <f t="shared" si="2"/>
        <v>#REF!</v>
      </c>
      <c r="C126" s="71" t="str">
        <f t="shared" si="3"/>
        <v>#REF!</v>
      </c>
      <c r="D126" s="60" t="str">
        <f t="shared" si="4"/>
        <v>#REF!</v>
      </c>
      <c r="E126" s="62" t="str">
        <f t="shared" si="5"/>
        <v>#REF!</v>
      </c>
      <c r="F126" s="4"/>
      <c r="G126" s="4"/>
      <c r="H126" s="4"/>
      <c r="I126" s="4"/>
      <c r="J126" s="4"/>
      <c r="K126" s="4"/>
      <c r="L126" s="4"/>
      <c r="M126" s="4"/>
      <c r="N126" s="4"/>
      <c r="O126" s="4"/>
      <c r="P126" s="4"/>
      <c r="Q126" s="4"/>
      <c r="R126" s="4"/>
      <c r="S126" s="4"/>
      <c r="T126" s="4"/>
      <c r="U126" s="4"/>
      <c r="V126" s="4"/>
      <c r="W126" s="4"/>
      <c r="X126" s="4"/>
      <c r="Y126" s="4"/>
      <c r="Z126" s="4"/>
    </row>
    <row r="127" ht="14.25" customHeight="1">
      <c r="A127" s="71" t="str">
        <f t="shared" si="1"/>
        <v>#REF!</v>
      </c>
      <c r="B127" s="71" t="str">
        <f t="shared" si="2"/>
        <v>#REF!</v>
      </c>
      <c r="C127" s="71" t="str">
        <f t="shared" si="3"/>
        <v>#REF!</v>
      </c>
      <c r="D127" s="60" t="str">
        <f t="shared" si="4"/>
        <v>#REF!</v>
      </c>
      <c r="E127" s="62" t="str">
        <f t="shared" si="5"/>
        <v>#REF!</v>
      </c>
      <c r="F127" s="4"/>
      <c r="G127" s="4"/>
      <c r="H127" s="4"/>
      <c r="I127" s="4"/>
      <c r="J127" s="4"/>
      <c r="K127" s="4"/>
      <c r="L127" s="4"/>
      <c r="M127" s="4"/>
      <c r="N127" s="4"/>
      <c r="O127" s="4"/>
      <c r="P127" s="4"/>
      <c r="Q127" s="4"/>
      <c r="R127" s="4"/>
      <c r="S127" s="4"/>
      <c r="T127" s="4"/>
      <c r="U127" s="4"/>
      <c r="V127" s="4"/>
      <c r="W127" s="4"/>
      <c r="X127" s="4"/>
      <c r="Y127" s="4"/>
      <c r="Z127" s="4"/>
    </row>
    <row r="128" ht="14.25" customHeight="1">
      <c r="A128" s="71" t="str">
        <f t="shared" si="1"/>
        <v>#REF!</v>
      </c>
      <c r="B128" s="71" t="str">
        <f t="shared" si="2"/>
        <v>#REF!</v>
      </c>
      <c r="C128" s="71" t="str">
        <f t="shared" si="3"/>
        <v>#REF!</v>
      </c>
      <c r="D128" s="60" t="str">
        <f t="shared" si="4"/>
        <v>#REF!</v>
      </c>
      <c r="E128" s="62" t="str">
        <f t="shared" si="5"/>
        <v>#REF!</v>
      </c>
      <c r="F128" s="4"/>
      <c r="G128" s="4"/>
      <c r="H128" s="4"/>
      <c r="I128" s="4"/>
      <c r="J128" s="4"/>
      <c r="K128" s="4"/>
      <c r="L128" s="4"/>
      <c r="M128" s="4"/>
      <c r="N128" s="4"/>
      <c r="O128" s="4"/>
      <c r="P128" s="4"/>
      <c r="Q128" s="4"/>
      <c r="R128" s="4"/>
      <c r="S128" s="4"/>
      <c r="T128" s="4"/>
      <c r="U128" s="4"/>
      <c r="V128" s="4"/>
      <c r="W128" s="4"/>
      <c r="X128" s="4"/>
      <c r="Y128" s="4"/>
      <c r="Z128" s="4"/>
    </row>
    <row r="129" ht="14.25" customHeight="1">
      <c r="A129" s="71" t="str">
        <f t="shared" si="1"/>
        <v>#REF!</v>
      </c>
      <c r="B129" s="71" t="str">
        <f t="shared" si="2"/>
        <v>#REF!</v>
      </c>
      <c r="C129" s="71" t="str">
        <f t="shared" si="3"/>
        <v>#REF!</v>
      </c>
      <c r="D129" s="60" t="str">
        <f t="shared" si="4"/>
        <v>#REF!</v>
      </c>
      <c r="E129" s="62" t="str">
        <f t="shared" si="5"/>
        <v>#REF!</v>
      </c>
      <c r="F129" s="4"/>
      <c r="G129" s="4"/>
      <c r="H129" s="4"/>
      <c r="I129" s="4"/>
      <c r="J129" s="4"/>
      <c r="K129" s="4"/>
      <c r="L129" s="4"/>
      <c r="M129" s="4"/>
      <c r="N129" s="4"/>
      <c r="O129" s="4"/>
      <c r="P129" s="4"/>
      <c r="Q129" s="4"/>
      <c r="R129" s="4"/>
      <c r="S129" s="4"/>
      <c r="T129" s="4"/>
      <c r="U129" s="4"/>
      <c r="V129" s="4"/>
      <c r="W129" s="4"/>
      <c r="X129" s="4"/>
      <c r="Y129" s="4"/>
      <c r="Z129" s="4"/>
    </row>
    <row r="130" ht="14.25" customHeight="1">
      <c r="A130" s="71" t="str">
        <f t="shared" si="1"/>
        <v>#REF!</v>
      </c>
      <c r="B130" s="71" t="str">
        <f t="shared" si="2"/>
        <v>#REF!</v>
      </c>
      <c r="C130" s="71" t="str">
        <f t="shared" si="3"/>
        <v>#REF!</v>
      </c>
      <c r="D130" s="60" t="str">
        <f t="shared" si="4"/>
        <v>#REF!</v>
      </c>
      <c r="E130" s="62" t="str">
        <f t="shared" si="5"/>
        <v>#REF!</v>
      </c>
      <c r="F130" s="4"/>
      <c r="G130" s="4"/>
      <c r="H130" s="4"/>
      <c r="I130" s="4"/>
      <c r="J130" s="4"/>
      <c r="K130" s="4"/>
      <c r="L130" s="4"/>
      <c r="M130" s="4"/>
      <c r="N130" s="4"/>
      <c r="O130" s="4"/>
      <c r="P130" s="4"/>
      <c r="Q130" s="4"/>
      <c r="R130" s="4"/>
      <c r="S130" s="4"/>
      <c r="T130" s="4"/>
      <c r="U130" s="4"/>
      <c r="V130" s="4"/>
      <c r="W130" s="4"/>
      <c r="X130" s="4"/>
      <c r="Y130" s="4"/>
      <c r="Z130" s="4"/>
    </row>
    <row r="131" ht="14.25" customHeight="1">
      <c r="A131" s="71" t="str">
        <f t="shared" si="1"/>
        <v>#REF!</v>
      </c>
      <c r="B131" s="71" t="str">
        <f t="shared" si="2"/>
        <v>#REF!</v>
      </c>
      <c r="C131" s="71" t="str">
        <f t="shared" si="3"/>
        <v>#REF!</v>
      </c>
      <c r="D131" s="60" t="str">
        <f t="shared" si="4"/>
        <v>#REF!</v>
      </c>
      <c r="E131" s="62" t="str">
        <f t="shared" si="5"/>
        <v>#REF!</v>
      </c>
      <c r="F131" s="4"/>
      <c r="G131" s="4"/>
      <c r="H131" s="4"/>
      <c r="I131" s="4"/>
      <c r="J131" s="4"/>
      <c r="K131" s="4"/>
      <c r="L131" s="4"/>
      <c r="M131" s="4"/>
      <c r="N131" s="4"/>
      <c r="O131" s="4"/>
      <c r="P131" s="4"/>
      <c r="Q131" s="4"/>
      <c r="R131" s="4"/>
      <c r="S131" s="4"/>
      <c r="T131" s="4"/>
      <c r="U131" s="4"/>
      <c r="V131" s="4"/>
      <c r="W131" s="4"/>
      <c r="X131" s="4"/>
      <c r="Y131" s="4"/>
      <c r="Z131" s="4"/>
    </row>
    <row r="132" ht="14.25" customHeight="1">
      <c r="A132" s="71" t="str">
        <f t="shared" si="1"/>
        <v>#REF!</v>
      </c>
      <c r="B132" s="71" t="str">
        <f t="shared" si="2"/>
        <v>#REF!</v>
      </c>
      <c r="C132" s="71" t="str">
        <f t="shared" si="3"/>
        <v>#REF!</v>
      </c>
      <c r="D132" s="60" t="str">
        <f t="shared" si="4"/>
        <v>#REF!</v>
      </c>
      <c r="E132" s="62" t="str">
        <f t="shared" si="5"/>
        <v>#REF!</v>
      </c>
      <c r="F132" s="4"/>
      <c r="G132" s="4"/>
      <c r="H132" s="4"/>
      <c r="I132" s="4"/>
      <c r="J132" s="4"/>
      <c r="K132" s="4"/>
      <c r="L132" s="4"/>
      <c r="M132" s="4"/>
      <c r="N132" s="4"/>
      <c r="O132" s="4"/>
      <c r="P132" s="4"/>
      <c r="Q132" s="4"/>
      <c r="R132" s="4"/>
      <c r="S132" s="4"/>
      <c r="T132" s="4"/>
      <c r="U132" s="4"/>
      <c r="V132" s="4"/>
      <c r="W132" s="4"/>
      <c r="X132" s="4"/>
      <c r="Y132" s="4"/>
      <c r="Z132" s="4"/>
    </row>
    <row r="133" ht="14.25" customHeight="1">
      <c r="A133" s="71" t="str">
        <f t="shared" si="1"/>
        <v>#REF!</v>
      </c>
      <c r="B133" s="71" t="str">
        <f t="shared" si="2"/>
        <v>#REF!</v>
      </c>
      <c r="C133" s="71" t="str">
        <f t="shared" si="3"/>
        <v>#REF!</v>
      </c>
      <c r="D133" s="60" t="str">
        <f t="shared" si="4"/>
        <v>#REF!</v>
      </c>
      <c r="E133" s="62" t="str">
        <f t="shared" si="5"/>
        <v>#REF!</v>
      </c>
      <c r="F133" s="4"/>
      <c r="G133" s="4"/>
      <c r="H133" s="4"/>
      <c r="I133" s="4"/>
      <c r="J133" s="4"/>
      <c r="K133" s="4"/>
      <c r="L133" s="4"/>
      <c r="M133" s="4"/>
      <c r="N133" s="4"/>
      <c r="O133" s="4"/>
      <c r="P133" s="4"/>
      <c r="Q133" s="4"/>
      <c r="R133" s="4"/>
      <c r="S133" s="4"/>
      <c r="T133" s="4"/>
      <c r="U133" s="4"/>
      <c r="V133" s="4"/>
      <c r="W133" s="4"/>
      <c r="X133" s="4"/>
      <c r="Y133" s="4"/>
      <c r="Z133" s="4"/>
    </row>
    <row r="134" ht="14.25" customHeight="1">
      <c r="A134" s="71" t="str">
        <f t="shared" si="1"/>
        <v>#REF!</v>
      </c>
      <c r="B134" s="71" t="str">
        <f t="shared" si="2"/>
        <v>#REF!</v>
      </c>
      <c r="C134" s="71" t="str">
        <f t="shared" si="3"/>
        <v>#REF!</v>
      </c>
      <c r="D134" s="60" t="str">
        <f t="shared" si="4"/>
        <v>#REF!</v>
      </c>
      <c r="E134" s="62" t="str">
        <f t="shared" si="5"/>
        <v>#REF!</v>
      </c>
      <c r="F134" s="4"/>
      <c r="G134" s="4"/>
      <c r="H134" s="4"/>
      <c r="I134" s="4"/>
      <c r="J134" s="4"/>
      <c r="K134" s="4"/>
      <c r="L134" s="4"/>
      <c r="M134" s="4"/>
      <c r="N134" s="4"/>
      <c r="O134" s="4"/>
      <c r="P134" s="4"/>
      <c r="Q134" s="4"/>
      <c r="R134" s="4"/>
      <c r="S134" s="4"/>
      <c r="T134" s="4"/>
      <c r="U134" s="4"/>
      <c r="V134" s="4"/>
      <c r="W134" s="4"/>
      <c r="X134" s="4"/>
      <c r="Y134" s="4"/>
      <c r="Z134" s="4"/>
    </row>
    <row r="135" ht="14.25" customHeight="1">
      <c r="A135" s="71" t="str">
        <f t="shared" si="1"/>
        <v>#REF!</v>
      </c>
      <c r="B135" s="71" t="str">
        <f t="shared" si="2"/>
        <v>#REF!</v>
      </c>
      <c r="C135" s="71" t="str">
        <f t="shared" si="3"/>
        <v>#REF!</v>
      </c>
      <c r="D135" s="60" t="str">
        <f t="shared" si="4"/>
        <v>#REF!</v>
      </c>
      <c r="E135" s="62" t="str">
        <f t="shared" si="5"/>
        <v>#REF!</v>
      </c>
      <c r="F135" s="4"/>
      <c r="G135" s="4"/>
      <c r="H135" s="4"/>
      <c r="I135" s="4"/>
      <c r="J135" s="4"/>
      <c r="K135" s="4"/>
      <c r="L135" s="4"/>
      <c r="M135" s="4"/>
      <c r="N135" s="4"/>
      <c r="O135" s="4"/>
      <c r="P135" s="4"/>
      <c r="Q135" s="4"/>
      <c r="R135" s="4"/>
      <c r="S135" s="4"/>
      <c r="T135" s="4"/>
      <c r="U135" s="4"/>
      <c r="V135" s="4"/>
      <c r="W135" s="4"/>
      <c r="X135" s="4"/>
      <c r="Y135" s="4"/>
      <c r="Z135" s="4"/>
    </row>
    <row r="136" ht="14.25" customHeight="1">
      <c r="A136" s="71" t="str">
        <f t="shared" si="1"/>
        <v>#REF!</v>
      </c>
      <c r="B136" s="71" t="str">
        <f t="shared" si="2"/>
        <v>#REF!</v>
      </c>
      <c r="C136" s="71" t="str">
        <f t="shared" si="3"/>
        <v>#REF!</v>
      </c>
      <c r="D136" s="60" t="str">
        <f t="shared" si="4"/>
        <v>#REF!</v>
      </c>
      <c r="E136" s="62" t="str">
        <f t="shared" si="5"/>
        <v>#REF!</v>
      </c>
      <c r="F136" s="4"/>
      <c r="G136" s="4"/>
      <c r="H136" s="4"/>
      <c r="I136" s="4"/>
      <c r="J136" s="4"/>
      <c r="K136" s="4"/>
      <c r="L136" s="4"/>
      <c r="M136" s="4"/>
      <c r="N136" s="4"/>
      <c r="O136" s="4"/>
      <c r="P136" s="4"/>
      <c r="Q136" s="4"/>
      <c r="R136" s="4"/>
      <c r="S136" s="4"/>
      <c r="T136" s="4"/>
      <c r="U136" s="4"/>
      <c r="V136" s="4"/>
      <c r="W136" s="4"/>
      <c r="X136" s="4"/>
      <c r="Y136" s="4"/>
      <c r="Z136" s="4"/>
    </row>
    <row r="137" ht="14.25" customHeight="1">
      <c r="A137" s="71" t="str">
        <f t="shared" si="1"/>
        <v>#REF!</v>
      </c>
      <c r="B137" s="71" t="str">
        <f t="shared" si="2"/>
        <v>#REF!</v>
      </c>
      <c r="C137" s="71" t="str">
        <f t="shared" si="3"/>
        <v>#REF!</v>
      </c>
      <c r="D137" s="60" t="str">
        <f t="shared" si="4"/>
        <v>#REF!</v>
      </c>
      <c r="E137" s="62" t="str">
        <f t="shared" si="5"/>
        <v>#REF!</v>
      </c>
      <c r="F137" s="4"/>
      <c r="G137" s="4"/>
      <c r="H137" s="4"/>
      <c r="I137" s="4"/>
      <c r="J137" s="4"/>
      <c r="K137" s="4"/>
      <c r="L137" s="4"/>
      <c r="M137" s="4"/>
      <c r="N137" s="4"/>
      <c r="O137" s="4"/>
      <c r="P137" s="4"/>
      <c r="Q137" s="4"/>
      <c r="R137" s="4"/>
      <c r="S137" s="4"/>
      <c r="T137" s="4"/>
      <c r="U137" s="4"/>
      <c r="V137" s="4"/>
      <c r="W137" s="4"/>
      <c r="X137" s="4"/>
      <c r="Y137" s="4"/>
      <c r="Z137" s="4"/>
    </row>
    <row r="138" ht="14.25" customHeight="1">
      <c r="A138" s="71" t="str">
        <f t="shared" si="1"/>
        <v>#REF!</v>
      </c>
      <c r="B138" s="71" t="str">
        <f t="shared" si="2"/>
        <v>#REF!</v>
      </c>
      <c r="C138" s="71" t="str">
        <f t="shared" si="3"/>
        <v>#REF!</v>
      </c>
      <c r="D138" s="60" t="str">
        <f t="shared" si="4"/>
        <v>#REF!</v>
      </c>
      <c r="E138" s="62" t="str">
        <f t="shared" si="5"/>
        <v>#REF!</v>
      </c>
      <c r="F138" s="4"/>
      <c r="G138" s="4"/>
      <c r="H138" s="4"/>
      <c r="I138" s="4"/>
      <c r="J138" s="4"/>
      <c r="K138" s="4"/>
      <c r="L138" s="4"/>
      <c r="M138" s="4"/>
      <c r="N138" s="4"/>
      <c r="O138" s="4"/>
      <c r="P138" s="4"/>
      <c r="Q138" s="4"/>
      <c r="R138" s="4"/>
      <c r="S138" s="4"/>
      <c r="T138" s="4"/>
      <c r="U138" s="4"/>
      <c r="V138" s="4"/>
      <c r="W138" s="4"/>
      <c r="X138" s="4"/>
      <c r="Y138" s="4"/>
      <c r="Z138" s="4"/>
    </row>
    <row r="139" ht="14.25" customHeight="1">
      <c r="A139" s="71" t="str">
        <f t="shared" si="1"/>
        <v>#REF!</v>
      </c>
      <c r="B139" s="71" t="str">
        <f t="shared" si="2"/>
        <v>#REF!</v>
      </c>
      <c r="C139" s="71" t="str">
        <f t="shared" si="3"/>
        <v>#REF!</v>
      </c>
      <c r="D139" s="60" t="str">
        <f t="shared" si="4"/>
        <v>#REF!</v>
      </c>
      <c r="E139" s="62" t="str">
        <f t="shared" si="5"/>
        <v>#REF!</v>
      </c>
      <c r="F139" s="4"/>
      <c r="G139" s="4"/>
      <c r="H139" s="4"/>
      <c r="I139" s="4"/>
      <c r="J139" s="4"/>
      <c r="K139" s="4"/>
      <c r="L139" s="4"/>
      <c r="M139" s="4"/>
      <c r="N139" s="4"/>
      <c r="O139" s="4"/>
      <c r="P139" s="4"/>
      <c r="Q139" s="4"/>
      <c r="R139" s="4"/>
      <c r="S139" s="4"/>
      <c r="T139" s="4"/>
      <c r="U139" s="4"/>
      <c r="V139" s="4"/>
      <c r="W139" s="4"/>
      <c r="X139" s="4"/>
      <c r="Y139" s="4"/>
      <c r="Z139" s="4"/>
    </row>
    <row r="140" ht="14.25" customHeight="1">
      <c r="A140" s="71" t="str">
        <f t="shared" si="1"/>
        <v>#REF!</v>
      </c>
      <c r="B140" s="71" t="str">
        <f t="shared" si="2"/>
        <v>#REF!</v>
      </c>
      <c r="C140" s="71" t="str">
        <f t="shared" si="3"/>
        <v>#REF!</v>
      </c>
      <c r="D140" s="60" t="str">
        <f t="shared" si="4"/>
        <v>#REF!</v>
      </c>
      <c r="E140" s="62" t="str">
        <f t="shared" si="5"/>
        <v>#REF!</v>
      </c>
      <c r="F140" s="4"/>
      <c r="G140" s="4"/>
      <c r="H140" s="4"/>
      <c r="I140" s="4"/>
      <c r="J140" s="4"/>
      <c r="K140" s="4"/>
      <c r="L140" s="4"/>
      <c r="M140" s="4"/>
      <c r="N140" s="4"/>
      <c r="O140" s="4"/>
      <c r="P140" s="4"/>
      <c r="Q140" s="4"/>
      <c r="R140" s="4"/>
      <c r="S140" s="4"/>
      <c r="T140" s="4"/>
      <c r="U140" s="4"/>
      <c r="V140" s="4"/>
      <c r="W140" s="4"/>
      <c r="X140" s="4"/>
      <c r="Y140" s="4"/>
      <c r="Z140" s="4"/>
    </row>
    <row r="141" ht="14.25" customHeight="1">
      <c r="A141" s="71" t="str">
        <f t="shared" si="1"/>
        <v>#REF!</v>
      </c>
      <c r="B141" s="71" t="str">
        <f t="shared" si="2"/>
        <v>#REF!</v>
      </c>
      <c r="C141" s="71" t="str">
        <f t="shared" si="3"/>
        <v>#REF!</v>
      </c>
      <c r="D141" s="60" t="str">
        <f t="shared" si="4"/>
        <v>#REF!</v>
      </c>
      <c r="E141" s="62" t="str">
        <f t="shared" si="5"/>
        <v>#REF!</v>
      </c>
      <c r="F141" s="4"/>
      <c r="G141" s="4"/>
      <c r="H141" s="4"/>
      <c r="I141" s="4"/>
      <c r="J141" s="4"/>
      <c r="K141" s="4"/>
      <c r="L141" s="4"/>
      <c r="M141" s="4"/>
      <c r="N141" s="4"/>
      <c r="O141" s="4"/>
      <c r="P141" s="4"/>
      <c r="Q141" s="4"/>
      <c r="R141" s="4"/>
      <c r="S141" s="4"/>
      <c r="T141" s="4"/>
      <c r="U141" s="4"/>
      <c r="V141" s="4"/>
      <c r="W141" s="4"/>
      <c r="X141" s="4"/>
      <c r="Y141" s="4"/>
      <c r="Z141" s="4"/>
    </row>
    <row r="142" ht="14.25" customHeight="1">
      <c r="A142" s="71" t="str">
        <f t="shared" si="1"/>
        <v>#REF!</v>
      </c>
      <c r="B142" s="71" t="str">
        <f t="shared" si="2"/>
        <v>#REF!</v>
      </c>
      <c r="C142" s="71" t="str">
        <f t="shared" si="3"/>
        <v>#REF!</v>
      </c>
      <c r="D142" s="60" t="str">
        <f t="shared" si="4"/>
        <v>#REF!</v>
      </c>
      <c r="E142" s="62" t="str">
        <f t="shared" si="5"/>
        <v>#REF!</v>
      </c>
      <c r="F142" s="4"/>
      <c r="G142" s="4"/>
      <c r="H142" s="4"/>
      <c r="I142" s="4"/>
      <c r="J142" s="4"/>
      <c r="K142" s="4"/>
      <c r="L142" s="4"/>
      <c r="M142" s="4"/>
      <c r="N142" s="4"/>
      <c r="O142" s="4"/>
      <c r="P142" s="4"/>
      <c r="Q142" s="4"/>
      <c r="R142" s="4"/>
      <c r="S142" s="4"/>
      <c r="T142" s="4"/>
      <c r="U142" s="4"/>
      <c r="V142" s="4"/>
      <c r="W142" s="4"/>
      <c r="X142" s="4"/>
      <c r="Y142" s="4"/>
      <c r="Z142" s="4"/>
    </row>
    <row r="143" ht="14.25" customHeight="1">
      <c r="A143" s="71" t="str">
        <f t="shared" si="1"/>
        <v>#REF!</v>
      </c>
      <c r="B143" s="71" t="str">
        <f t="shared" si="2"/>
        <v>#REF!</v>
      </c>
      <c r="C143" s="71" t="str">
        <f t="shared" si="3"/>
        <v>#REF!</v>
      </c>
      <c r="D143" s="60" t="str">
        <f t="shared" si="4"/>
        <v>#REF!</v>
      </c>
      <c r="E143" s="62" t="str">
        <f t="shared" si="5"/>
        <v>#REF!</v>
      </c>
      <c r="F143" s="4"/>
      <c r="G143" s="4"/>
      <c r="H143" s="4"/>
      <c r="I143" s="4"/>
      <c r="J143" s="4"/>
      <c r="K143" s="4"/>
      <c r="L143" s="4"/>
      <c r="M143" s="4"/>
      <c r="N143" s="4"/>
      <c r="O143" s="4"/>
      <c r="P143" s="4"/>
      <c r="Q143" s="4"/>
      <c r="R143" s="4"/>
      <c r="S143" s="4"/>
      <c r="T143" s="4"/>
      <c r="U143" s="4"/>
      <c r="V143" s="4"/>
      <c r="W143" s="4"/>
      <c r="X143" s="4"/>
      <c r="Y143" s="4"/>
      <c r="Z143" s="4"/>
    </row>
    <row r="144" ht="14.25" customHeight="1">
      <c r="A144" s="71" t="str">
        <f t="shared" si="1"/>
        <v>#REF!</v>
      </c>
      <c r="B144" s="71" t="str">
        <f t="shared" si="2"/>
        <v>#REF!</v>
      </c>
      <c r="C144" s="71" t="str">
        <f t="shared" si="3"/>
        <v>#REF!</v>
      </c>
      <c r="D144" s="60" t="str">
        <f t="shared" si="4"/>
        <v>#REF!</v>
      </c>
      <c r="E144" s="62" t="str">
        <f t="shared" si="5"/>
        <v>#REF!</v>
      </c>
      <c r="F144" s="4"/>
      <c r="G144" s="4"/>
      <c r="H144" s="4"/>
      <c r="I144" s="4"/>
      <c r="J144" s="4"/>
      <c r="K144" s="4"/>
      <c r="L144" s="4"/>
      <c r="M144" s="4"/>
      <c r="N144" s="4"/>
      <c r="O144" s="4"/>
      <c r="P144" s="4"/>
      <c r="Q144" s="4"/>
      <c r="R144" s="4"/>
      <c r="S144" s="4"/>
      <c r="T144" s="4"/>
      <c r="U144" s="4"/>
      <c r="V144" s="4"/>
      <c r="W144" s="4"/>
      <c r="X144" s="4"/>
      <c r="Y144" s="4"/>
      <c r="Z144" s="4"/>
    </row>
    <row r="145" ht="14.25" customHeight="1">
      <c r="A145" s="71" t="str">
        <f t="shared" si="1"/>
        <v>#REF!</v>
      </c>
      <c r="B145" s="71" t="str">
        <f t="shared" si="2"/>
        <v>#REF!</v>
      </c>
      <c r="C145" s="71" t="str">
        <f t="shared" si="3"/>
        <v>#REF!</v>
      </c>
      <c r="D145" s="60" t="str">
        <f t="shared" si="4"/>
        <v>#REF!</v>
      </c>
      <c r="E145" s="62" t="str">
        <f t="shared" si="5"/>
        <v>#REF!</v>
      </c>
      <c r="F145" s="4"/>
      <c r="G145" s="4"/>
      <c r="H145" s="4"/>
      <c r="I145" s="4"/>
      <c r="J145" s="4"/>
      <c r="K145" s="4"/>
      <c r="L145" s="4"/>
      <c r="M145" s="4"/>
      <c r="N145" s="4"/>
      <c r="O145" s="4"/>
      <c r="P145" s="4"/>
      <c r="Q145" s="4"/>
      <c r="R145" s="4"/>
      <c r="S145" s="4"/>
      <c r="T145" s="4"/>
      <c r="U145" s="4"/>
      <c r="V145" s="4"/>
      <c r="W145" s="4"/>
      <c r="X145" s="4"/>
      <c r="Y145" s="4"/>
      <c r="Z145" s="4"/>
    </row>
    <row r="146" ht="14.25" customHeight="1">
      <c r="A146" s="71" t="str">
        <f t="shared" si="1"/>
        <v>#REF!</v>
      </c>
      <c r="B146" s="71" t="str">
        <f t="shared" si="2"/>
        <v>#REF!</v>
      </c>
      <c r="C146" s="71" t="str">
        <f t="shared" si="3"/>
        <v>#REF!</v>
      </c>
      <c r="D146" s="60" t="str">
        <f t="shared" si="4"/>
        <v>#REF!</v>
      </c>
      <c r="E146" s="62" t="str">
        <f t="shared" si="5"/>
        <v>#REF!</v>
      </c>
      <c r="F146" s="4"/>
      <c r="G146" s="4"/>
      <c r="H146" s="4"/>
      <c r="I146" s="4"/>
      <c r="J146" s="4"/>
      <c r="K146" s="4"/>
      <c r="L146" s="4"/>
      <c r="M146" s="4"/>
      <c r="N146" s="4"/>
      <c r="O146" s="4"/>
      <c r="P146" s="4"/>
      <c r="Q146" s="4"/>
      <c r="R146" s="4"/>
      <c r="S146" s="4"/>
      <c r="T146" s="4"/>
      <c r="U146" s="4"/>
      <c r="V146" s="4"/>
      <c r="W146" s="4"/>
      <c r="X146" s="4"/>
      <c r="Y146" s="4"/>
      <c r="Z146" s="4"/>
    </row>
    <row r="147" ht="14.25" customHeight="1">
      <c r="A147" s="65" t="s">
        <v>616</v>
      </c>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56" t="s">
        <v>617</v>
      </c>
      <c r="B149" s="57"/>
      <c r="C149" s="57"/>
      <c r="D149" s="57"/>
      <c r="E149" s="57"/>
      <c r="F149" s="4"/>
      <c r="G149" s="4"/>
      <c r="H149" s="4"/>
      <c r="I149" s="4"/>
      <c r="J149" s="4"/>
      <c r="K149" s="4"/>
      <c r="L149" s="4"/>
      <c r="M149" s="4"/>
      <c r="N149" s="4"/>
      <c r="O149" s="4"/>
      <c r="P149" s="4"/>
      <c r="Q149" s="4"/>
      <c r="R149" s="4"/>
      <c r="S149" s="4"/>
      <c r="T149" s="4"/>
      <c r="U149" s="4"/>
      <c r="V149" s="4"/>
      <c r="W149" s="4"/>
      <c r="X149" s="4"/>
      <c r="Y149" s="4"/>
      <c r="Z149" s="4"/>
    </row>
    <row r="150" ht="31.5" customHeight="1">
      <c r="A150" s="13" t="s">
        <v>618</v>
      </c>
      <c r="B150" s="13" t="s">
        <v>619</v>
      </c>
      <c r="C150" s="13" t="s">
        <v>620</v>
      </c>
      <c r="D150" s="13" t="s">
        <v>621</v>
      </c>
      <c r="E150" s="13" t="s">
        <v>622</v>
      </c>
      <c r="F150" s="4"/>
      <c r="G150" s="4"/>
      <c r="H150" s="4"/>
      <c r="I150" s="4"/>
      <c r="J150" s="4"/>
      <c r="K150" s="4"/>
      <c r="L150" s="4"/>
      <c r="M150" s="4"/>
      <c r="N150" s="4"/>
      <c r="O150" s="4"/>
      <c r="P150" s="4"/>
      <c r="Q150" s="4"/>
      <c r="R150" s="4"/>
      <c r="S150" s="4"/>
      <c r="T150" s="4"/>
      <c r="U150" s="4"/>
      <c r="V150" s="4"/>
      <c r="W150" s="4"/>
      <c r="X150" s="4"/>
      <c r="Y150" s="4"/>
      <c r="Z150" s="4"/>
    </row>
    <row r="151" ht="14.25" customHeight="1">
      <c r="A151" s="66">
        <v>1.0</v>
      </c>
      <c r="B151" s="66" t="s">
        <v>623</v>
      </c>
      <c r="C151" s="66" t="s">
        <v>116</v>
      </c>
      <c r="D151" s="66" t="s">
        <v>108</v>
      </c>
      <c r="E151" s="66" t="s">
        <v>624</v>
      </c>
      <c r="F151" s="4"/>
      <c r="G151" s="4"/>
      <c r="H151" s="4"/>
      <c r="I151" s="4"/>
      <c r="J151" s="4"/>
      <c r="K151" s="4"/>
      <c r="L151" s="4"/>
      <c r="M151" s="4"/>
      <c r="N151" s="4"/>
      <c r="O151" s="4"/>
      <c r="P151" s="4"/>
      <c r="Q151" s="4"/>
      <c r="R151" s="4"/>
      <c r="S151" s="4"/>
      <c r="T151" s="4"/>
      <c r="U151" s="4"/>
      <c r="V151" s="4"/>
      <c r="W151" s="4"/>
      <c r="X151" s="4"/>
      <c r="Y151" s="4"/>
      <c r="Z151" s="4"/>
    </row>
    <row r="152" ht="14.25" customHeight="1">
      <c r="A152" s="66">
        <v>2.0</v>
      </c>
      <c r="B152" s="66" t="s">
        <v>625</v>
      </c>
      <c r="C152" s="66" t="s">
        <v>116</v>
      </c>
      <c r="D152" s="66" t="s">
        <v>108</v>
      </c>
      <c r="E152" s="66" t="s">
        <v>626</v>
      </c>
      <c r="F152" s="4"/>
      <c r="G152" s="4"/>
      <c r="H152" s="4"/>
      <c r="I152" s="4"/>
      <c r="J152" s="4"/>
      <c r="K152" s="4"/>
      <c r="L152" s="4"/>
      <c r="M152" s="4"/>
      <c r="N152" s="4"/>
      <c r="O152" s="4"/>
      <c r="P152" s="4"/>
      <c r="Q152" s="4"/>
      <c r="R152" s="4"/>
      <c r="S152" s="4"/>
      <c r="T152" s="4"/>
      <c r="U152" s="4"/>
      <c r="V152" s="4"/>
      <c r="W152" s="4"/>
      <c r="X152" s="4"/>
      <c r="Y152" s="4"/>
      <c r="Z152" s="4"/>
    </row>
    <row r="153" ht="14.25" customHeight="1">
      <c r="A153" s="66">
        <v>3.0</v>
      </c>
      <c r="B153" s="66" t="s">
        <v>627</v>
      </c>
      <c r="C153" s="66" t="s">
        <v>95</v>
      </c>
      <c r="D153" s="66" t="s">
        <v>94</v>
      </c>
      <c r="E153" s="66" t="s">
        <v>628</v>
      </c>
      <c r="F153" s="4"/>
      <c r="G153" s="4"/>
      <c r="H153" s="4"/>
      <c r="I153" s="4"/>
      <c r="J153" s="4"/>
      <c r="K153" s="4"/>
      <c r="L153" s="4"/>
      <c r="M153" s="4"/>
      <c r="N153" s="4"/>
      <c r="O153" s="4"/>
      <c r="P153" s="4"/>
      <c r="Q153" s="4"/>
      <c r="R153" s="4"/>
      <c r="S153" s="4"/>
      <c r="T153" s="4"/>
      <c r="U153" s="4"/>
      <c r="V153" s="4"/>
      <c r="W153" s="4"/>
      <c r="X153" s="4"/>
      <c r="Y153" s="4"/>
      <c r="Z153" s="4"/>
    </row>
    <row r="154" ht="14.25" customHeight="1">
      <c r="A154" s="66">
        <v>4.0</v>
      </c>
      <c r="B154" s="66" t="s">
        <v>629</v>
      </c>
      <c r="C154" s="66" t="s">
        <v>95</v>
      </c>
      <c r="D154" s="66" t="s">
        <v>158</v>
      </c>
      <c r="E154" s="66" t="s">
        <v>630</v>
      </c>
      <c r="F154" s="4"/>
      <c r="G154" s="4"/>
      <c r="H154" s="4"/>
      <c r="I154" s="4"/>
      <c r="J154" s="4"/>
      <c r="K154" s="4"/>
      <c r="L154" s="4"/>
      <c r="M154" s="4"/>
      <c r="N154" s="4"/>
      <c r="O154" s="4"/>
      <c r="P154" s="4"/>
      <c r="Q154" s="4"/>
      <c r="R154" s="4"/>
      <c r="S154" s="4"/>
      <c r="T154" s="4"/>
      <c r="U154" s="4"/>
      <c r="V154" s="4"/>
      <c r="W154" s="4"/>
      <c r="X154" s="4"/>
      <c r="Y154" s="4"/>
      <c r="Z154" s="4"/>
    </row>
    <row r="155" ht="14.25" customHeight="1">
      <c r="A155" s="66">
        <v>5.0</v>
      </c>
      <c r="B155" s="66" t="s">
        <v>633</v>
      </c>
      <c r="C155" s="66" t="s">
        <v>95</v>
      </c>
      <c r="D155" s="66" t="s">
        <v>108</v>
      </c>
      <c r="E155" s="66" t="s">
        <v>634</v>
      </c>
      <c r="F155" s="4"/>
      <c r="G155" s="4"/>
      <c r="H155" s="4"/>
      <c r="I155" s="4"/>
      <c r="J155" s="4"/>
      <c r="K155" s="4"/>
      <c r="L155" s="4"/>
      <c r="M155" s="4"/>
      <c r="N155" s="4"/>
      <c r="O155" s="4"/>
      <c r="P155" s="4"/>
      <c r="Q155" s="4"/>
      <c r="R155" s="4"/>
      <c r="S155" s="4"/>
      <c r="T155" s="4"/>
      <c r="U155" s="4"/>
      <c r="V155" s="4"/>
      <c r="W155" s="4"/>
      <c r="X155" s="4"/>
      <c r="Y155" s="4"/>
      <c r="Z155" s="4"/>
    </row>
    <row r="156" ht="14.25" customHeight="1">
      <c r="A156" s="66">
        <v>6.0</v>
      </c>
      <c r="B156" s="66" t="s">
        <v>635</v>
      </c>
      <c r="C156" s="66" t="s">
        <v>116</v>
      </c>
      <c r="D156" s="66" t="s">
        <v>636</v>
      </c>
      <c r="E156" s="66" t="s">
        <v>637</v>
      </c>
      <c r="F156" s="4"/>
      <c r="G156" s="4"/>
      <c r="H156" s="4"/>
      <c r="I156" s="4"/>
      <c r="J156" s="4"/>
      <c r="K156" s="4"/>
      <c r="L156" s="4"/>
      <c r="M156" s="4"/>
      <c r="N156" s="4"/>
      <c r="O156" s="4"/>
      <c r="P156" s="4"/>
      <c r="Q156" s="4"/>
      <c r="R156" s="4"/>
      <c r="S156" s="4"/>
      <c r="T156" s="4"/>
      <c r="U156" s="4"/>
      <c r="V156" s="4"/>
      <c r="W156" s="4"/>
      <c r="X156" s="4"/>
      <c r="Y156" s="4"/>
      <c r="Z156" s="4"/>
    </row>
    <row r="157" ht="14.25" customHeight="1">
      <c r="A157" s="81"/>
      <c r="B157" s="81"/>
      <c r="C157" s="81"/>
      <c r="D157" s="81"/>
      <c r="E157" s="81"/>
      <c r="F157" s="4"/>
      <c r="G157" s="4"/>
      <c r="H157" s="4"/>
      <c r="I157" s="4"/>
      <c r="J157" s="4"/>
      <c r="K157" s="4"/>
      <c r="L157" s="4"/>
      <c r="M157" s="4"/>
      <c r="N157" s="4"/>
      <c r="O157" s="4"/>
      <c r="P157" s="4"/>
      <c r="Q157" s="4"/>
      <c r="R157" s="4"/>
      <c r="S157" s="4"/>
      <c r="T157" s="4"/>
      <c r="U157" s="4"/>
      <c r="V157" s="4"/>
      <c r="W157" s="4"/>
      <c r="X157" s="4"/>
      <c r="Y157" s="4"/>
      <c r="Z157" s="4"/>
    </row>
    <row r="158" ht="14.25" customHeight="1">
      <c r="A158" s="81"/>
      <c r="B158" s="81"/>
      <c r="C158" s="81"/>
      <c r="D158" s="81"/>
      <c r="E158" s="81"/>
      <c r="F158" s="4"/>
      <c r="G158" s="4"/>
      <c r="H158" s="4"/>
      <c r="I158" s="4"/>
      <c r="J158" s="4"/>
      <c r="K158" s="4"/>
      <c r="L158" s="4"/>
      <c r="M158" s="4"/>
      <c r="N158" s="4"/>
      <c r="O158" s="4"/>
      <c r="P158" s="4"/>
      <c r="Q158" s="4"/>
      <c r="R158" s="4"/>
      <c r="S158" s="4"/>
      <c r="T158" s="4"/>
      <c r="U158" s="4"/>
      <c r="V158" s="4"/>
      <c r="W158" s="4"/>
      <c r="X158" s="4"/>
      <c r="Y158" s="4"/>
      <c r="Z158" s="4"/>
    </row>
    <row r="159" ht="14.25" customHeight="1">
      <c r="A159" s="81"/>
      <c r="B159" s="81"/>
      <c r="C159" s="81"/>
      <c r="D159" s="81"/>
      <c r="E159" s="81"/>
      <c r="F159" s="4"/>
      <c r="G159" s="4"/>
      <c r="H159" s="4"/>
      <c r="I159" s="4"/>
      <c r="J159" s="4"/>
      <c r="K159" s="4"/>
      <c r="L159" s="4"/>
      <c r="M159" s="4"/>
      <c r="N159" s="4"/>
      <c r="O159" s="4"/>
      <c r="P159" s="4"/>
      <c r="Q159" s="4"/>
      <c r="R159" s="4"/>
      <c r="S159" s="4"/>
      <c r="T159" s="4"/>
      <c r="U159" s="4"/>
      <c r="V159" s="4"/>
      <c r="W159" s="4"/>
      <c r="X159" s="4"/>
      <c r="Y159" s="4"/>
      <c r="Z159" s="4"/>
    </row>
    <row r="160" ht="14.25" customHeight="1">
      <c r="A160" s="81"/>
      <c r="B160" s="81"/>
      <c r="C160" s="81"/>
      <c r="D160" s="81"/>
      <c r="E160" s="81"/>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B3:E3"/>
    <mergeCell ref="B4:E4"/>
    <mergeCell ref="B5:E5"/>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3.0"/>
    <col customWidth="1" min="2" max="2" width="21.29"/>
    <col customWidth="1" min="3" max="3" width="19.71"/>
    <col customWidth="1" min="4" max="4" width="20.71"/>
    <col customWidth="1" min="5" max="5" width="17.43"/>
    <col customWidth="1" min="7" max="7" width="16.43"/>
    <col customWidth="1" min="8" max="8" width="22.43"/>
    <col customWidth="1" min="9" max="9" width="17.43"/>
  </cols>
  <sheetData>
    <row r="1" ht="15.0" customHeight="1">
      <c r="A1" s="82" t="s">
        <v>703</v>
      </c>
      <c r="B1" s="83"/>
      <c r="C1" s="83"/>
      <c r="D1" s="83"/>
      <c r="E1" s="83"/>
      <c r="F1" s="83"/>
      <c r="G1" s="83"/>
      <c r="H1" s="84"/>
      <c r="I1" s="85"/>
      <c r="J1" s="85"/>
      <c r="K1" s="86"/>
      <c r="L1" s="86"/>
      <c r="M1" s="86"/>
      <c r="N1" s="86"/>
      <c r="O1" s="86"/>
      <c r="P1" s="86"/>
      <c r="Q1" s="86"/>
      <c r="R1" s="86"/>
      <c r="S1" s="86"/>
      <c r="T1" s="86"/>
      <c r="U1" s="86"/>
      <c r="V1" s="86"/>
      <c r="W1" s="86"/>
      <c r="X1" s="86"/>
      <c r="Y1" s="86"/>
      <c r="Z1" s="86"/>
    </row>
    <row r="2" ht="15.0" customHeight="1">
      <c r="A2" s="87"/>
      <c r="H2" s="88"/>
      <c r="I2" s="89"/>
      <c r="J2" s="89"/>
      <c r="K2" s="86"/>
      <c r="L2" s="86"/>
      <c r="M2" s="86"/>
      <c r="N2" s="86"/>
      <c r="O2" s="86"/>
      <c r="P2" s="86"/>
      <c r="Q2" s="86"/>
      <c r="R2" s="86"/>
      <c r="S2" s="86"/>
      <c r="T2" s="86"/>
      <c r="U2" s="86"/>
      <c r="V2" s="86"/>
      <c r="W2" s="86"/>
      <c r="X2" s="86"/>
      <c r="Y2" s="86"/>
      <c r="Z2" s="86"/>
    </row>
    <row r="3" ht="15.0" customHeight="1">
      <c r="A3" s="87"/>
      <c r="H3" s="88"/>
      <c r="I3" s="89"/>
      <c r="J3" s="89"/>
      <c r="K3" s="86"/>
      <c r="L3" s="86"/>
      <c r="M3" s="86"/>
      <c r="N3" s="86"/>
      <c r="O3" s="86"/>
      <c r="P3" s="86"/>
      <c r="Q3" s="86"/>
      <c r="R3" s="86"/>
      <c r="S3" s="86"/>
      <c r="T3" s="86"/>
      <c r="U3" s="86"/>
      <c r="V3" s="86"/>
      <c r="W3" s="86"/>
      <c r="X3" s="86"/>
      <c r="Y3" s="86"/>
      <c r="Z3" s="86"/>
    </row>
    <row r="4" ht="15.0" customHeight="1">
      <c r="A4" s="87"/>
      <c r="H4" s="88"/>
      <c r="I4" s="89"/>
      <c r="J4" s="89"/>
      <c r="K4" s="86"/>
      <c r="L4" s="86"/>
      <c r="M4" s="86"/>
      <c r="N4" s="86"/>
      <c r="O4" s="86"/>
      <c r="P4" s="86"/>
      <c r="Q4" s="86"/>
      <c r="R4" s="86"/>
      <c r="S4" s="86"/>
      <c r="T4" s="86"/>
      <c r="U4" s="86"/>
      <c r="V4" s="86"/>
      <c r="W4" s="86"/>
      <c r="X4" s="86"/>
      <c r="Y4" s="86"/>
      <c r="Z4" s="86"/>
    </row>
    <row r="5" ht="15.0" customHeight="1">
      <c r="A5" s="87"/>
      <c r="H5" s="88"/>
      <c r="I5" s="89"/>
      <c r="J5" s="89"/>
      <c r="K5" s="86"/>
      <c r="L5" s="86"/>
      <c r="M5" s="86"/>
      <c r="N5" s="86"/>
      <c r="O5" s="86"/>
      <c r="P5" s="86"/>
      <c r="Q5" s="86"/>
      <c r="R5" s="86"/>
      <c r="S5" s="86"/>
      <c r="T5" s="86"/>
      <c r="U5" s="86"/>
      <c r="V5" s="86"/>
      <c r="W5" s="86"/>
      <c r="X5" s="86"/>
      <c r="Y5" s="86"/>
      <c r="Z5" s="86"/>
    </row>
    <row r="6" ht="15.0" customHeight="1">
      <c r="A6" s="87"/>
      <c r="H6" s="88"/>
      <c r="I6" s="89"/>
      <c r="J6" s="89"/>
      <c r="K6" s="86"/>
      <c r="L6" s="86"/>
      <c r="M6" s="86"/>
      <c r="N6" s="86"/>
      <c r="O6" s="86"/>
      <c r="P6" s="86"/>
      <c r="Q6" s="86"/>
      <c r="R6" s="86"/>
      <c r="S6" s="86"/>
      <c r="T6" s="86"/>
      <c r="U6" s="86"/>
      <c r="V6" s="86"/>
      <c r="W6" s="86"/>
      <c r="X6" s="86"/>
      <c r="Y6" s="86"/>
      <c r="Z6" s="86"/>
    </row>
    <row r="7" ht="15.0" customHeight="1">
      <c r="A7" s="90"/>
      <c r="B7" s="91"/>
      <c r="C7" s="91"/>
      <c r="D7" s="91"/>
      <c r="E7" s="91"/>
      <c r="F7" s="91"/>
      <c r="G7" s="91"/>
      <c r="H7" s="92"/>
      <c r="I7" s="89"/>
      <c r="J7" s="89"/>
      <c r="K7" s="86"/>
      <c r="L7" s="86"/>
      <c r="M7" s="86"/>
      <c r="N7" s="86"/>
      <c r="O7" s="86"/>
      <c r="P7" s="86"/>
      <c r="Q7" s="86"/>
      <c r="R7" s="86"/>
      <c r="S7" s="86"/>
      <c r="T7" s="86"/>
      <c r="U7" s="86"/>
      <c r="V7" s="86"/>
      <c r="W7" s="86"/>
      <c r="X7" s="86"/>
      <c r="Y7" s="86"/>
      <c r="Z7" s="86"/>
    </row>
    <row r="8" ht="15.0" customHeight="1">
      <c r="A8" s="93" t="s">
        <v>710</v>
      </c>
      <c r="B8" s="94"/>
      <c r="C8" s="95"/>
      <c r="D8" s="96"/>
      <c r="E8" s="83"/>
      <c r="F8" s="83"/>
      <c r="G8" s="83"/>
      <c r="H8" s="84"/>
      <c r="I8" s="89"/>
      <c r="J8" s="89"/>
      <c r="K8" s="86"/>
      <c r="L8" s="86"/>
      <c r="M8" s="86"/>
      <c r="N8" s="86"/>
      <c r="O8" s="86"/>
      <c r="P8" s="86"/>
      <c r="Q8" s="86"/>
      <c r="R8" s="86"/>
      <c r="S8" s="86"/>
      <c r="T8" s="86"/>
      <c r="U8" s="86"/>
      <c r="V8" s="86"/>
      <c r="W8" s="86"/>
      <c r="X8" s="86"/>
      <c r="Y8" s="86"/>
      <c r="Z8" s="86"/>
    </row>
    <row r="9" ht="15.0" customHeight="1">
      <c r="A9" s="97" t="s">
        <v>496</v>
      </c>
      <c r="B9" s="98" t="s">
        <v>497</v>
      </c>
      <c r="C9" s="98" t="s">
        <v>711</v>
      </c>
      <c r="D9" s="87"/>
      <c r="H9" s="88"/>
      <c r="I9" s="89"/>
      <c r="J9" s="89"/>
      <c r="K9" s="86"/>
      <c r="L9" s="86"/>
      <c r="M9" s="86"/>
      <c r="N9" s="86"/>
      <c r="O9" s="86"/>
      <c r="P9" s="86"/>
      <c r="Q9" s="86"/>
      <c r="R9" s="86"/>
      <c r="S9" s="86"/>
      <c r="T9" s="86"/>
      <c r="U9" s="86"/>
      <c r="V9" s="86"/>
      <c r="W9" s="86"/>
      <c r="X9" s="86"/>
      <c r="Y9" s="86"/>
      <c r="Z9" s="86"/>
    </row>
    <row r="10" ht="15.0" customHeight="1">
      <c r="A10" s="99" t="s">
        <v>712</v>
      </c>
      <c r="B10" s="100">
        <v>0.12</v>
      </c>
      <c r="C10" s="101" t="s">
        <v>713</v>
      </c>
      <c r="D10" s="87"/>
      <c r="H10" s="88"/>
      <c r="I10" s="89"/>
      <c r="J10" s="89"/>
      <c r="K10" s="86"/>
      <c r="L10" s="86"/>
      <c r="M10" s="86"/>
      <c r="N10" s="86"/>
      <c r="O10" s="86"/>
      <c r="P10" s="86"/>
      <c r="Q10" s="86"/>
      <c r="R10" s="86"/>
      <c r="S10" s="86"/>
      <c r="T10" s="86"/>
      <c r="U10" s="86"/>
      <c r="V10" s="86"/>
      <c r="W10" s="86"/>
      <c r="X10" s="86"/>
      <c r="Y10" s="86"/>
      <c r="Z10" s="86"/>
    </row>
    <row r="11" ht="15.0" customHeight="1">
      <c r="A11" s="99" t="s">
        <v>714</v>
      </c>
      <c r="B11" s="102">
        <v>5.0</v>
      </c>
      <c r="C11" s="101" t="s">
        <v>715</v>
      </c>
      <c r="D11" s="87"/>
      <c r="H11" s="88"/>
      <c r="I11" s="89"/>
      <c r="J11" s="89"/>
      <c r="K11" s="86"/>
      <c r="L11" s="86"/>
      <c r="M11" s="86"/>
      <c r="N11" s="86"/>
      <c r="O11" s="86"/>
      <c r="P11" s="86"/>
      <c r="Q11" s="86"/>
      <c r="R11" s="86"/>
      <c r="S11" s="86"/>
      <c r="T11" s="86"/>
      <c r="U11" s="86"/>
      <c r="V11" s="86"/>
      <c r="W11" s="86"/>
      <c r="X11" s="86"/>
      <c r="Y11" s="86"/>
      <c r="Z11" s="86"/>
    </row>
    <row r="12" ht="15.0" customHeight="1">
      <c r="A12" s="99" t="s">
        <v>716</v>
      </c>
      <c r="B12" s="100">
        <v>0.15</v>
      </c>
      <c r="C12" s="101" t="s">
        <v>717</v>
      </c>
      <c r="D12" s="87"/>
      <c r="H12" s="88"/>
      <c r="I12" s="89"/>
      <c r="J12" s="89"/>
      <c r="K12" s="86"/>
      <c r="L12" s="86"/>
      <c r="M12" s="86"/>
      <c r="N12" s="86"/>
      <c r="O12" s="86"/>
      <c r="P12" s="86"/>
      <c r="Q12" s="86"/>
      <c r="R12" s="86"/>
      <c r="S12" s="86"/>
      <c r="T12" s="86"/>
      <c r="U12" s="86"/>
      <c r="V12" s="86"/>
      <c r="W12" s="86"/>
      <c r="X12" s="86"/>
      <c r="Y12" s="86"/>
      <c r="Z12" s="86"/>
    </row>
    <row r="13" ht="15.0" customHeight="1">
      <c r="A13" s="99" t="s">
        <v>718</v>
      </c>
      <c r="B13" s="103">
        <f>W5_Handover!B23</f>
        <v>0.1</v>
      </c>
      <c r="C13" s="101" t="s">
        <v>721</v>
      </c>
      <c r="D13" s="87"/>
      <c r="H13" s="88"/>
      <c r="I13" s="89"/>
      <c r="J13" s="89"/>
      <c r="K13" s="86"/>
      <c r="L13" s="86"/>
      <c r="M13" s="86"/>
      <c r="N13" s="86"/>
      <c r="O13" s="86"/>
      <c r="P13" s="86"/>
      <c r="Q13" s="86"/>
      <c r="R13" s="86"/>
      <c r="S13" s="86"/>
      <c r="T13" s="86"/>
      <c r="U13" s="86"/>
      <c r="V13" s="86"/>
      <c r="W13" s="86"/>
      <c r="X13" s="86"/>
      <c r="Y13" s="86"/>
      <c r="Z13" s="86"/>
    </row>
    <row r="14" ht="15.0" customHeight="1">
      <c r="A14" s="99" t="s">
        <v>722</v>
      </c>
      <c r="B14" s="104" t="str">
        <f>W2_Rollup!D26</f>
        <v>#N/A</v>
      </c>
      <c r="C14" s="101" t="s">
        <v>723</v>
      </c>
      <c r="D14" s="90"/>
      <c r="E14" s="91"/>
      <c r="F14" s="91"/>
      <c r="G14" s="91"/>
      <c r="H14" s="92"/>
      <c r="I14" s="89"/>
      <c r="J14" s="89"/>
      <c r="K14" s="86"/>
      <c r="L14" s="86"/>
      <c r="M14" s="86"/>
      <c r="N14" s="86"/>
      <c r="O14" s="86"/>
      <c r="P14" s="86"/>
      <c r="Q14" s="86"/>
      <c r="R14" s="86"/>
      <c r="S14" s="86"/>
      <c r="T14" s="86"/>
      <c r="U14" s="86"/>
      <c r="V14" s="86"/>
      <c r="W14" s="86"/>
      <c r="X14" s="86"/>
      <c r="Y14" s="86"/>
      <c r="Z14" s="86"/>
    </row>
    <row r="15" ht="15.0" customHeight="1">
      <c r="A15" s="105"/>
      <c r="B15" s="106"/>
      <c r="C15" s="107"/>
      <c r="D15" s="108"/>
      <c r="E15" s="108"/>
      <c r="F15" s="108"/>
      <c r="G15" s="108"/>
      <c r="H15" s="108"/>
      <c r="I15" s="89"/>
      <c r="J15" s="89"/>
      <c r="K15" s="86"/>
      <c r="L15" s="86"/>
      <c r="M15" s="86"/>
      <c r="N15" s="86"/>
      <c r="O15" s="86"/>
      <c r="P15" s="86"/>
      <c r="Q15" s="86"/>
      <c r="R15" s="86"/>
      <c r="S15" s="86"/>
      <c r="T15" s="86"/>
      <c r="U15" s="86"/>
      <c r="V15" s="86"/>
      <c r="W15" s="86"/>
      <c r="X15" s="86"/>
      <c r="Y15" s="86"/>
      <c r="Z15" s="86"/>
    </row>
    <row r="16" ht="15.0" customHeight="1">
      <c r="A16" s="93" t="s">
        <v>724</v>
      </c>
      <c r="B16" s="95"/>
      <c r="C16" s="109"/>
      <c r="D16" s="83"/>
      <c r="E16" s="83"/>
      <c r="F16" s="83"/>
      <c r="G16" s="83"/>
      <c r="H16" s="84"/>
      <c r="I16" s="89"/>
      <c r="J16" s="89"/>
      <c r="K16" s="86"/>
      <c r="L16" s="86"/>
      <c r="M16" s="86"/>
      <c r="N16" s="86"/>
      <c r="O16" s="86"/>
      <c r="P16" s="86"/>
      <c r="Q16" s="86"/>
      <c r="R16" s="86"/>
      <c r="S16" s="86"/>
      <c r="T16" s="86"/>
      <c r="U16" s="86"/>
      <c r="V16" s="86"/>
      <c r="W16" s="86"/>
      <c r="X16" s="86"/>
      <c r="Y16" s="86"/>
      <c r="Z16" s="86"/>
    </row>
    <row r="17" ht="15.0" customHeight="1">
      <c r="A17" s="97" t="s">
        <v>725</v>
      </c>
      <c r="B17" s="110" t="s">
        <v>726</v>
      </c>
      <c r="C17" s="87"/>
      <c r="H17" s="88"/>
      <c r="I17" s="89"/>
      <c r="J17" s="89"/>
      <c r="K17" s="86"/>
      <c r="L17" s="86"/>
      <c r="M17" s="86"/>
      <c r="N17" s="86"/>
      <c r="O17" s="86"/>
      <c r="P17" s="86"/>
      <c r="Q17" s="86"/>
      <c r="R17" s="86"/>
      <c r="S17" s="86"/>
      <c r="T17" s="86"/>
      <c r="U17" s="86"/>
      <c r="V17" s="86"/>
      <c r="W17" s="86"/>
      <c r="X17" s="86"/>
      <c r="Y17" s="86"/>
      <c r="Z17" s="86"/>
    </row>
    <row r="18" ht="15.0" customHeight="1">
      <c r="A18" s="111" t="s">
        <v>117</v>
      </c>
      <c r="B18" s="112">
        <v>3.0E7</v>
      </c>
      <c r="C18" s="87"/>
      <c r="H18" s="88"/>
      <c r="I18" s="89"/>
      <c r="J18" s="89"/>
      <c r="K18" s="86"/>
      <c r="L18" s="86"/>
      <c r="M18" s="86"/>
      <c r="N18" s="86"/>
      <c r="O18" s="86"/>
      <c r="P18" s="86"/>
      <c r="Q18" s="86"/>
      <c r="R18" s="86"/>
      <c r="S18" s="86"/>
      <c r="T18" s="86"/>
      <c r="U18" s="86"/>
      <c r="V18" s="86"/>
      <c r="W18" s="86"/>
      <c r="X18" s="86"/>
      <c r="Y18" s="86"/>
      <c r="Z18" s="86"/>
    </row>
    <row r="19" ht="15.0" customHeight="1">
      <c r="A19" s="111" t="s">
        <v>344</v>
      </c>
      <c r="B19" s="112">
        <v>1.5E7</v>
      </c>
      <c r="C19" s="87"/>
      <c r="H19" s="88"/>
      <c r="I19" s="89"/>
      <c r="J19" s="89"/>
      <c r="K19" s="86"/>
      <c r="L19" s="86"/>
      <c r="M19" s="86"/>
      <c r="N19" s="86"/>
      <c r="O19" s="86"/>
      <c r="P19" s="86"/>
      <c r="Q19" s="86"/>
      <c r="R19" s="86"/>
      <c r="S19" s="86"/>
      <c r="T19" s="86"/>
      <c r="U19" s="86"/>
      <c r="V19" s="86"/>
      <c r="W19" s="86"/>
      <c r="X19" s="86"/>
      <c r="Y19" s="86"/>
      <c r="Z19" s="86"/>
    </row>
    <row r="20" ht="15.0" customHeight="1">
      <c r="A20" s="111" t="s">
        <v>389</v>
      </c>
      <c r="B20" s="112">
        <v>1.0E7</v>
      </c>
      <c r="C20" s="90"/>
      <c r="D20" s="91"/>
      <c r="E20" s="91"/>
      <c r="F20" s="91"/>
      <c r="G20" s="91"/>
      <c r="H20" s="92"/>
      <c r="I20" s="89"/>
      <c r="J20" s="89"/>
      <c r="K20" s="86"/>
      <c r="L20" s="86"/>
      <c r="M20" s="86"/>
      <c r="N20" s="86"/>
      <c r="O20" s="86"/>
      <c r="P20" s="86"/>
      <c r="Q20" s="86"/>
      <c r="R20" s="86"/>
      <c r="S20" s="86"/>
      <c r="T20" s="86"/>
      <c r="U20" s="86"/>
      <c r="V20" s="86"/>
      <c r="W20" s="86"/>
      <c r="X20" s="86"/>
      <c r="Y20" s="86"/>
      <c r="Z20" s="86"/>
    </row>
    <row r="21" ht="15.0" customHeight="1">
      <c r="A21" s="113"/>
      <c r="B21" s="106"/>
      <c r="C21" s="106"/>
      <c r="D21" s="106"/>
      <c r="E21" s="106"/>
      <c r="F21" s="106"/>
      <c r="G21" s="106"/>
      <c r="H21" s="107"/>
      <c r="I21" s="89"/>
      <c r="J21" s="89"/>
      <c r="K21" s="86"/>
      <c r="L21" s="86"/>
      <c r="M21" s="86"/>
      <c r="N21" s="86"/>
      <c r="O21" s="86"/>
      <c r="P21" s="86"/>
      <c r="Q21" s="86"/>
      <c r="R21" s="86"/>
      <c r="S21" s="86"/>
      <c r="T21" s="86"/>
      <c r="U21" s="86"/>
      <c r="V21" s="86"/>
      <c r="W21" s="86"/>
      <c r="X21" s="86"/>
      <c r="Y21" s="86"/>
      <c r="Z21" s="86"/>
    </row>
    <row r="22" ht="15.0" customHeight="1">
      <c r="A22" s="93" t="s">
        <v>730</v>
      </c>
      <c r="B22" s="94"/>
      <c r="C22" s="94"/>
      <c r="D22" s="94"/>
      <c r="E22" s="94"/>
      <c r="F22" s="94"/>
      <c r="G22" s="94"/>
      <c r="H22" s="95"/>
      <c r="I22" s="89"/>
      <c r="J22" s="89"/>
      <c r="K22" s="86"/>
      <c r="L22" s="86"/>
      <c r="M22" s="86"/>
      <c r="N22" s="86"/>
      <c r="O22" s="86"/>
      <c r="P22" s="86"/>
      <c r="Q22" s="86"/>
      <c r="R22" s="86"/>
      <c r="S22" s="86"/>
      <c r="T22" s="86"/>
      <c r="U22" s="86"/>
      <c r="V22" s="86"/>
      <c r="W22" s="86"/>
      <c r="X22" s="86"/>
      <c r="Y22" s="86"/>
      <c r="Z22" s="86"/>
    </row>
    <row r="23" ht="15.0" customHeight="1">
      <c r="A23" s="97" t="s">
        <v>733</v>
      </c>
      <c r="B23" s="98" t="s">
        <v>711</v>
      </c>
      <c r="C23" s="114">
        <v>0.0</v>
      </c>
      <c r="D23" s="114">
        <v>1.0</v>
      </c>
      <c r="E23" s="114">
        <v>2.0</v>
      </c>
      <c r="F23" s="114">
        <v>3.0</v>
      </c>
      <c r="G23" s="114">
        <v>4.0</v>
      </c>
      <c r="H23" s="114">
        <v>5.0</v>
      </c>
      <c r="I23" s="89"/>
      <c r="J23" s="89"/>
      <c r="K23" s="86"/>
      <c r="L23" s="86"/>
      <c r="M23" s="86"/>
      <c r="N23" s="86"/>
      <c r="O23" s="86"/>
      <c r="P23" s="86"/>
      <c r="Q23" s="86"/>
      <c r="R23" s="86"/>
      <c r="S23" s="86"/>
      <c r="T23" s="86"/>
      <c r="U23" s="86"/>
      <c r="V23" s="86"/>
      <c r="W23" s="86"/>
      <c r="X23" s="86"/>
      <c r="Y23" s="86"/>
      <c r="Z23" s="86"/>
    </row>
    <row r="24" ht="15.0" customHeight="1">
      <c r="A24" s="99" t="s">
        <v>734</v>
      </c>
      <c r="B24" s="101" t="s">
        <v>735</v>
      </c>
      <c r="C24" s="100">
        <v>0.0</v>
      </c>
      <c r="D24" s="100">
        <v>0.4</v>
      </c>
      <c r="E24" s="100">
        <v>0.7</v>
      </c>
      <c r="F24" s="100">
        <v>1.0</v>
      </c>
      <c r="G24" s="100">
        <v>1.0</v>
      </c>
      <c r="H24" s="100">
        <v>1.0</v>
      </c>
      <c r="I24" s="115"/>
      <c r="J24" s="89"/>
      <c r="K24" s="86"/>
      <c r="L24" s="86"/>
      <c r="M24" s="86"/>
      <c r="N24" s="86"/>
      <c r="O24" s="86"/>
      <c r="P24" s="86"/>
      <c r="Q24" s="86"/>
      <c r="R24" s="86"/>
      <c r="S24" s="86"/>
      <c r="T24" s="86"/>
      <c r="U24" s="86"/>
      <c r="V24" s="86"/>
      <c r="W24" s="86"/>
      <c r="X24" s="86"/>
      <c r="Y24" s="86"/>
      <c r="Z24" s="86"/>
    </row>
    <row r="25" ht="15.0" customHeight="1">
      <c r="A25" s="116"/>
      <c r="B25" s="106"/>
      <c r="C25" s="106"/>
      <c r="D25" s="106"/>
      <c r="E25" s="106"/>
      <c r="F25" s="106"/>
      <c r="G25" s="106"/>
      <c r="H25" s="106"/>
      <c r="I25" s="107"/>
      <c r="J25" s="89"/>
      <c r="K25" s="86"/>
      <c r="L25" s="86"/>
      <c r="M25" s="86"/>
      <c r="N25" s="86"/>
      <c r="O25" s="86"/>
      <c r="P25" s="86"/>
      <c r="Q25" s="86"/>
      <c r="R25" s="86"/>
      <c r="S25" s="86"/>
      <c r="T25" s="86"/>
      <c r="U25" s="86"/>
      <c r="V25" s="86"/>
      <c r="W25" s="86"/>
      <c r="X25" s="86"/>
      <c r="Y25" s="86"/>
      <c r="Z25" s="86"/>
    </row>
    <row r="26" ht="15.0" customHeight="1">
      <c r="A26" s="93" t="s">
        <v>736</v>
      </c>
      <c r="B26" s="94"/>
      <c r="C26" s="94"/>
      <c r="D26" s="94"/>
      <c r="E26" s="94"/>
      <c r="F26" s="94"/>
      <c r="G26" s="94"/>
      <c r="H26" s="94"/>
      <c r="I26" s="95"/>
      <c r="J26" s="89"/>
      <c r="K26" s="86"/>
      <c r="L26" s="86"/>
      <c r="M26" s="86"/>
      <c r="N26" s="86"/>
      <c r="O26" s="86"/>
      <c r="P26" s="86"/>
      <c r="Q26" s="86"/>
      <c r="R26" s="86"/>
      <c r="S26" s="86"/>
      <c r="T26" s="86"/>
      <c r="U26" s="86"/>
      <c r="V26" s="86"/>
      <c r="W26" s="86"/>
      <c r="X26" s="86"/>
      <c r="Y26" s="86"/>
      <c r="Z26" s="86"/>
    </row>
    <row r="27" ht="15.0" customHeight="1">
      <c r="A27" s="97" t="s">
        <v>737</v>
      </c>
      <c r="B27" s="110" t="s">
        <v>738</v>
      </c>
      <c r="C27" s="110" t="s">
        <v>739</v>
      </c>
      <c r="D27" s="110" t="s">
        <v>740</v>
      </c>
      <c r="E27" s="110" t="s">
        <v>741</v>
      </c>
      <c r="F27" s="110" t="s">
        <v>742</v>
      </c>
      <c r="G27" s="110" t="s">
        <v>743</v>
      </c>
      <c r="H27" s="110" t="s">
        <v>744</v>
      </c>
      <c r="I27" s="110" t="s">
        <v>745</v>
      </c>
      <c r="J27" s="89"/>
      <c r="K27" s="86"/>
      <c r="L27" s="86"/>
      <c r="M27" s="86"/>
      <c r="N27" s="86"/>
      <c r="O27" s="86"/>
      <c r="P27" s="86"/>
      <c r="Q27" s="86"/>
      <c r="R27" s="86"/>
      <c r="S27" s="86"/>
      <c r="T27" s="86"/>
      <c r="U27" s="86"/>
      <c r="V27" s="86"/>
      <c r="W27" s="86"/>
      <c r="X27" s="86"/>
      <c r="Y27" s="86"/>
      <c r="Z27" s="86"/>
    </row>
    <row r="28" ht="15.0" customHeight="1">
      <c r="A28" s="117" t="s">
        <v>486</v>
      </c>
      <c r="B28" s="118">
        <v>1.0</v>
      </c>
      <c r="C28" s="118">
        <v>0.0</v>
      </c>
      <c r="D28" s="118">
        <v>0.0</v>
      </c>
      <c r="E28" s="104" t="str">
        <f>W5_Handover!C9</f>
        <v>#N/A</v>
      </c>
      <c r="F28" s="119" t="str">
        <f t="shared" ref="F28:F30" si="1">$B$13*$B$14</f>
        <v>#N/A</v>
      </c>
      <c r="G28" s="120" t="str">
        <f t="shared" ref="G28:G30" si="2">E28+F28</f>
        <v>#N/A</v>
      </c>
      <c r="H28" s="119">
        <f t="shared" ref="H28:H30" si="3">B28*$B$18+C28*$B$19+D28*$B$20</f>
        <v>30000000</v>
      </c>
      <c r="I28" s="119" t="str">
        <f t="shared" ref="I28:I30" si="4">E28*$B$12</f>
        <v>#N/A</v>
      </c>
      <c r="J28" s="89"/>
      <c r="K28" s="86"/>
      <c r="L28" s="86"/>
      <c r="M28" s="86"/>
      <c r="N28" s="86"/>
      <c r="O28" s="86"/>
      <c r="P28" s="86"/>
      <c r="Q28" s="86"/>
      <c r="R28" s="86"/>
      <c r="S28" s="86"/>
      <c r="T28" s="86"/>
      <c r="U28" s="86"/>
      <c r="V28" s="86"/>
      <c r="W28" s="86"/>
      <c r="X28" s="86"/>
      <c r="Y28" s="86"/>
      <c r="Z28" s="86"/>
    </row>
    <row r="29" ht="15.0" customHeight="1">
      <c r="A29" s="117" t="s">
        <v>488</v>
      </c>
      <c r="B29" s="118">
        <v>1.0</v>
      </c>
      <c r="C29" s="118">
        <v>1.0</v>
      </c>
      <c r="D29" s="118">
        <v>0.0</v>
      </c>
      <c r="E29" s="104" t="str">
        <f>W5_Handover!C10</f>
        <v>#N/A</v>
      </c>
      <c r="F29" s="119" t="str">
        <f t="shared" si="1"/>
        <v>#N/A</v>
      </c>
      <c r="G29" s="120" t="str">
        <f t="shared" si="2"/>
        <v>#N/A</v>
      </c>
      <c r="H29" s="119">
        <f t="shared" si="3"/>
        <v>45000000</v>
      </c>
      <c r="I29" s="119" t="str">
        <f t="shared" si="4"/>
        <v>#N/A</v>
      </c>
      <c r="J29" s="89"/>
      <c r="K29" s="86"/>
      <c r="L29" s="86"/>
      <c r="M29" s="86"/>
      <c r="N29" s="86"/>
      <c r="O29" s="86"/>
      <c r="P29" s="86"/>
      <c r="Q29" s="86"/>
      <c r="R29" s="86"/>
      <c r="S29" s="86"/>
      <c r="T29" s="86"/>
      <c r="U29" s="86"/>
      <c r="V29" s="86"/>
      <c r="W29" s="86"/>
      <c r="X29" s="86"/>
      <c r="Y29" s="86"/>
      <c r="Z29" s="86"/>
    </row>
    <row r="30">
      <c r="A30" s="117" t="s">
        <v>490</v>
      </c>
      <c r="B30" s="121">
        <v>1.0</v>
      </c>
      <c r="C30" s="121">
        <v>1.0</v>
      </c>
      <c r="D30" s="121">
        <v>1.0</v>
      </c>
      <c r="E30" s="104" t="str">
        <f>W5_Handover!C11</f>
        <v>#N/A</v>
      </c>
      <c r="F30" s="119" t="str">
        <f t="shared" si="1"/>
        <v>#N/A</v>
      </c>
      <c r="G30" s="120" t="str">
        <f t="shared" si="2"/>
        <v>#N/A</v>
      </c>
      <c r="H30" s="119">
        <f t="shared" si="3"/>
        <v>55000000</v>
      </c>
      <c r="I30" s="119" t="str">
        <f t="shared" si="4"/>
        <v>#N/A</v>
      </c>
      <c r="J30" s="89"/>
      <c r="K30" s="86"/>
      <c r="L30" s="86"/>
      <c r="M30" s="86"/>
      <c r="N30" s="86"/>
      <c r="O30" s="86"/>
      <c r="P30" s="86"/>
      <c r="Q30" s="86"/>
      <c r="R30" s="86"/>
      <c r="S30" s="86"/>
      <c r="T30" s="86"/>
      <c r="U30" s="86"/>
      <c r="V30" s="86"/>
      <c r="W30" s="86"/>
      <c r="X30" s="86"/>
      <c r="Y30" s="86"/>
      <c r="Z30" s="86"/>
    </row>
    <row r="31">
      <c r="A31" s="122"/>
      <c r="B31" s="83"/>
      <c r="C31" s="83"/>
      <c r="D31" s="83"/>
      <c r="E31" s="83"/>
      <c r="F31" s="83"/>
      <c r="G31" s="83"/>
      <c r="H31" s="83"/>
      <c r="I31" s="84"/>
      <c r="J31" s="89"/>
      <c r="K31" s="86"/>
      <c r="L31" s="86"/>
      <c r="M31" s="86"/>
      <c r="N31" s="86"/>
      <c r="O31" s="86"/>
      <c r="P31" s="86"/>
      <c r="Q31" s="86"/>
      <c r="R31" s="86"/>
      <c r="S31" s="86"/>
      <c r="T31" s="86"/>
      <c r="U31" s="86"/>
      <c r="V31" s="86"/>
      <c r="W31" s="86"/>
      <c r="X31" s="86"/>
      <c r="Y31" s="86"/>
      <c r="Z31" s="86"/>
    </row>
    <row r="32">
      <c r="A32" s="90"/>
      <c r="B32" s="91"/>
      <c r="C32" s="91"/>
      <c r="D32" s="91"/>
      <c r="E32" s="91"/>
      <c r="F32" s="91"/>
      <c r="G32" s="91"/>
      <c r="H32" s="91"/>
      <c r="I32" s="92"/>
      <c r="J32" s="115"/>
      <c r="K32" s="86"/>
      <c r="L32" s="86"/>
      <c r="M32" s="86"/>
      <c r="N32" s="86"/>
      <c r="O32" s="86"/>
      <c r="P32" s="86"/>
      <c r="Q32" s="86"/>
      <c r="R32" s="86"/>
      <c r="S32" s="86"/>
      <c r="T32" s="86"/>
      <c r="U32" s="86"/>
      <c r="V32" s="86"/>
      <c r="W32" s="86"/>
      <c r="X32" s="86"/>
      <c r="Y32" s="86"/>
      <c r="Z32" s="86"/>
    </row>
    <row r="33">
      <c r="A33" s="123" t="s">
        <v>748</v>
      </c>
      <c r="I33" s="124"/>
      <c r="J33" s="84"/>
      <c r="K33" s="86"/>
      <c r="L33" s="86"/>
      <c r="M33" s="86"/>
      <c r="N33" s="86"/>
      <c r="O33" s="86"/>
      <c r="P33" s="86"/>
      <c r="Q33" s="86"/>
      <c r="R33" s="86"/>
      <c r="S33" s="86"/>
      <c r="T33" s="86"/>
      <c r="U33" s="86"/>
      <c r="V33" s="86"/>
      <c r="W33" s="86"/>
      <c r="X33" s="86"/>
      <c r="Y33" s="86"/>
      <c r="Z33" s="86"/>
    </row>
    <row r="34">
      <c r="A34" s="125" t="s">
        <v>749</v>
      </c>
      <c r="B34" s="126"/>
      <c r="C34" s="127"/>
      <c r="D34" s="127"/>
      <c r="E34" s="127"/>
      <c r="F34" s="127"/>
      <c r="G34" s="127"/>
      <c r="H34" s="127"/>
      <c r="I34" s="87"/>
      <c r="J34" s="88"/>
      <c r="K34" s="86"/>
      <c r="L34" s="86"/>
      <c r="M34" s="86"/>
      <c r="N34" s="86"/>
      <c r="O34" s="86"/>
      <c r="P34" s="86"/>
      <c r="Q34" s="86"/>
      <c r="R34" s="86"/>
      <c r="S34" s="86"/>
      <c r="T34" s="86"/>
      <c r="U34" s="86"/>
      <c r="V34" s="86"/>
      <c r="W34" s="86"/>
      <c r="X34" s="86"/>
      <c r="Y34" s="86"/>
      <c r="Z34" s="86"/>
    </row>
    <row r="35">
      <c r="A35" s="128" t="s">
        <v>750</v>
      </c>
      <c r="B35" s="129" t="s">
        <v>711</v>
      </c>
      <c r="C35" s="129" t="s">
        <v>752</v>
      </c>
      <c r="D35" s="130" t="s">
        <v>754</v>
      </c>
      <c r="E35" s="130" t="s">
        <v>755</v>
      </c>
      <c r="F35" s="130" t="s">
        <v>756</v>
      </c>
      <c r="G35" s="130" t="s">
        <v>757</v>
      </c>
      <c r="H35" s="131" t="s">
        <v>758</v>
      </c>
      <c r="I35" s="87"/>
      <c r="J35" s="88"/>
      <c r="K35" s="86"/>
      <c r="L35" s="86"/>
      <c r="M35" s="86"/>
      <c r="N35" s="86"/>
      <c r="O35" s="86"/>
      <c r="P35" s="86"/>
      <c r="Q35" s="86"/>
      <c r="R35" s="86"/>
      <c r="S35" s="86"/>
      <c r="T35" s="86"/>
      <c r="U35" s="86"/>
      <c r="V35" s="86"/>
      <c r="W35" s="86"/>
      <c r="X35" s="86"/>
      <c r="Y35" s="86"/>
      <c r="Z35" s="86"/>
    </row>
    <row r="36">
      <c r="A36" s="132" t="s">
        <v>759</v>
      </c>
      <c r="B36" s="133" t="s">
        <v>760</v>
      </c>
      <c r="C36" s="134">
        <f t="shared" ref="C36:E36" si="5">IF(C$23&lt;=$B$11,1,0)</f>
        <v>1</v>
      </c>
      <c r="D36" s="135">
        <f t="shared" si="5"/>
        <v>1</v>
      </c>
      <c r="E36" s="135">
        <f t="shared" si="5"/>
        <v>1</v>
      </c>
      <c r="F36" s="135">
        <f>IF(E$23&lt;=$B$11,1,0)</f>
        <v>1</v>
      </c>
      <c r="G36" s="135">
        <f t="shared" ref="G36:H36" si="6">IF(G$23&lt;=$B$11,1,0)</f>
        <v>1</v>
      </c>
      <c r="H36" s="136">
        <f t="shared" si="6"/>
        <v>1</v>
      </c>
      <c r="I36" s="87"/>
      <c r="J36" s="88"/>
      <c r="K36" s="86"/>
      <c r="L36" s="86"/>
      <c r="M36" s="86"/>
      <c r="N36" s="86"/>
      <c r="O36" s="86"/>
      <c r="P36" s="86"/>
      <c r="Q36" s="86"/>
      <c r="R36" s="86"/>
      <c r="S36" s="86"/>
      <c r="T36" s="86"/>
      <c r="U36" s="86"/>
      <c r="V36" s="86"/>
      <c r="W36" s="86"/>
      <c r="X36" s="86"/>
      <c r="Y36" s="86"/>
      <c r="Z36" s="86"/>
    </row>
    <row r="37">
      <c r="A37" s="132" t="s">
        <v>761</v>
      </c>
      <c r="B37" s="133" t="s">
        <v>723</v>
      </c>
      <c r="C37" s="135">
        <f t="shared" ref="C37:H37" si="7">C$24*C36*$H28</f>
        <v>0</v>
      </c>
      <c r="D37" s="135">
        <f t="shared" si="7"/>
        <v>12000000</v>
      </c>
      <c r="E37" s="135">
        <f t="shared" si="7"/>
        <v>21000000</v>
      </c>
      <c r="F37" s="135">
        <f t="shared" si="7"/>
        <v>30000000</v>
      </c>
      <c r="G37" s="135">
        <f t="shared" si="7"/>
        <v>30000000</v>
      </c>
      <c r="H37" s="136">
        <f t="shared" si="7"/>
        <v>30000000</v>
      </c>
      <c r="I37" s="87"/>
      <c r="J37" s="88"/>
      <c r="K37" s="86"/>
      <c r="L37" s="86"/>
      <c r="M37" s="86"/>
      <c r="N37" s="86"/>
      <c r="O37" s="86"/>
      <c r="P37" s="86"/>
      <c r="Q37" s="86"/>
      <c r="R37" s="86"/>
      <c r="S37" s="86"/>
      <c r="T37" s="86"/>
      <c r="U37" s="86"/>
      <c r="V37" s="86"/>
      <c r="W37" s="86"/>
      <c r="X37" s="86"/>
      <c r="Y37" s="86"/>
      <c r="Z37" s="86"/>
    </row>
    <row r="38">
      <c r="A38" s="132" t="s">
        <v>762</v>
      </c>
      <c r="B38" s="133" t="s">
        <v>723</v>
      </c>
      <c r="C38" s="135">
        <f t="shared" ref="C38:H38" si="8">-IF(C$23=0,0,C36*$I28)</f>
        <v>0</v>
      </c>
      <c r="D38" s="137" t="str">
        <f t="shared" si="8"/>
        <v>#N/A</v>
      </c>
      <c r="E38" s="137" t="str">
        <f t="shared" si="8"/>
        <v>#N/A</v>
      </c>
      <c r="F38" s="137" t="str">
        <f t="shared" si="8"/>
        <v>#N/A</v>
      </c>
      <c r="G38" s="137" t="str">
        <f t="shared" si="8"/>
        <v>#N/A</v>
      </c>
      <c r="H38" s="138" t="str">
        <f t="shared" si="8"/>
        <v>#N/A</v>
      </c>
      <c r="I38" s="87"/>
      <c r="J38" s="88"/>
      <c r="K38" s="86"/>
      <c r="L38" s="86"/>
      <c r="M38" s="86"/>
      <c r="N38" s="86"/>
      <c r="O38" s="86"/>
      <c r="P38" s="86"/>
      <c r="Q38" s="86"/>
      <c r="R38" s="86"/>
      <c r="S38" s="86"/>
      <c r="T38" s="86"/>
      <c r="U38" s="86"/>
      <c r="V38" s="86"/>
      <c r="W38" s="86"/>
      <c r="X38" s="86"/>
      <c r="Y38" s="86"/>
      <c r="Z38" s="86"/>
    </row>
    <row r="39">
      <c r="A39" s="132" t="s">
        <v>769</v>
      </c>
      <c r="B39" s="133" t="s">
        <v>723</v>
      </c>
      <c r="C39" s="137" t="str">
        <f t="shared" ref="C39:H39" si="9">IF(C$23=0,-$G28,0)</f>
        <v>#N/A</v>
      </c>
      <c r="D39" s="135">
        <f t="shared" si="9"/>
        <v>0</v>
      </c>
      <c r="E39" s="135">
        <f t="shared" si="9"/>
        <v>0</v>
      </c>
      <c r="F39" s="135">
        <f t="shared" si="9"/>
        <v>0</v>
      </c>
      <c r="G39" s="135">
        <f t="shared" si="9"/>
        <v>0</v>
      </c>
      <c r="H39" s="136">
        <f t="shared" si="9"/>
        <v>0</v>
      </c>
      <c r="I39" s="87"/>
      <c r="J39" s="88"/>
      <c r="K39" s="86"/>
      <c r="L39" s="86"/>
      <c r="M39" s="86"/>
      <c r="N39" s="86"/>
      <c r="O39" s="86"/>
      <c r="P39" s="86"/>
      <c r="Q39" s="86"/>
      <c r="R39" s="86"/>
      <c r="S39" s="86"/>
      <c r="T39" s="86"/>
      <c r="U39" s="86"/>
      <c r="V39" s="86"/>
      <c r="W39" s="86"/>
      <c r="X39" s="86"/>
      <c r="Y39" s="86"/>
      <c r="Z39" s="86"/>
    </row>
    <row r="40">
      <c r="A40" s="139" t="s">
        <v>773</v>
      </c>
      <c r="B40" s="133" t="s">
        <v>723</v>
      </c>
      <c r="C40" s="140" t="str">
        <f t="shared" ref="C40:H40" si="10">C37+C38+C39</f>
        <v>#N/A</v>
      </c>
      <c r="D40" s="141" t="str">
        <f t="shared" si="10"/>
        <v>#N/A</v>
      </c>
      <c r="E40" s="141" t="str">
        <f t="shared" si="10"/>
        <v>#N/A</v>
      </c>
      <c r="F40" s="141" t="str">
        <f t="shared" si="10"/>
        <v>#N/A</v>
      </c>
      <c r="G40" s="141" t="str">
        <f t="shared" si="10"/>
        <v>#N/A</v>
      </c>
      <c r="H40" s="142" t="str">
        <f t="shared" si="10"/>
        <v>#N/A</v>
      </c>
      <c r="I40" s="87"/>
      <c r="J40" s="88"/>
      <c r="K40" s="86"/>
      <c r="L40" s="86"/>
      <c r="M40" s="86"/>
      <c r="N40" s="86"/>
      <c r="O40" s="86"/>
      <c r="P40" s="86"/>
      <c r="Q40" s="86"/>
      <c r="R40" s="86"/>
      <c r="S40" s="86"/>
      <c r="T40" s="86"/>
      <c r="U40" s="86"/>
      <c r="V40" s="86"/>
      <c r="W40" s="86"/>
      <c r="X40" s="86"/>
      <c r="Y40" s="86"/>
      <c r="Z40" s="86"/>
    </row>
    <row r="41">
      <c r="A41" s="139" t="s">
        <v>774</v>
      </c>
      <c r="B41" s="133" t="s">
        <v>723</v>
      </c>
      <c r="C41" s="140" t="str">
        <f>C40</f>
        <v>#N/A</v>
      </c>
      <c r="D41" s="140" t="str">
        <f t="shared" ref="D41:H41" si="11">C41+D40</f>
        <v>#N/A</v>
      </c>
      <c r="E41" s="140" t="str">
        <f t="shared" si="11"/>
        <v>#N/A</v>
      </c>
      <c r="F41" s="140" t="str">
        <f t="shared" si="11"/>
        <v>#N/A</v>
      </c>
      <c r="G41" s="141" t="str">
        <f t="shared" si="11"/>
        <v>#N/A</v>
      </c>
      <c r="H41" s="142" t="str">
        <f t="shared" si="11"/>
        <v>#N/A</v>
      </c>
      <c r="I41" s="87"/>
      <c r="J41" s="88"/>
      <c r="K41" s="86"/>
      <c r="L41" s="86"/>
      <c r="M41" s="86"/>
      <c r="N41" s="86"/>
      <c r="O41" s="86"/>
      <c r="P41" s="86"/>
      <c r="Q41" s="86"/>
      <c r="R41" s="86"/>
      <c r="S41" s="86"/>
      <c r="T41" s="86"/>
      <c r="U41" s="86"/>
      <c r="V41" s="86"/>
      <c r="W41" s="86"/>
      <c r="X41" s="86"/>
      <c r="Y41" s="86"/>
      <c r="Z41" s="86"/>
    </row>
    <row r="42">
      <c r="A42" s="132" t="s">
        <v>775</v>
      </c>
      <c r="B42" s="133" t="s">
        <v>776</v>
      </c>
      <c r="C42" s="143">
        <f t="shared" ref="C42:H42" si="12">1/(1+$B$10)^C$23</f>
        <v>1</v>
      </c>
      <c r="D42" s="143">
        <f t="shared" si="12"/>
        <v>0.8928571429</v>
      </c>
      <c r="E42" s="143">
        <f t="shared" si="12"/>
        <v>0.7971938776</v>
      </c>
      <c r="F42" s="143">
        <f t="shared" si="12"/>
        <v>0.7117802478</v>
      </c>
      <c r="G42" s="143">
        <f t="shared" si="12"/>
        <v>0.6355180784</v>
      </c>
      <c r="H42" s="144">
        <f t="shared" si="12"/>
        <v>0.5674268557</v>
      </c>
      <c r="I42" s="87"/>
      <c r="J42" s="88"/>
      <c r="K42" s="86"/>
      <c r="L42" s="86"/>
      <c r="M42" s="86"/>
      <c r="N42" s="86"/>
      <c r="O42" s="86"/>
      <c r="P42" s="86"/>
      <c r="Q42" s="86"/>
      <c r="R42" s="86"/>
      <c r="S42" s="86"/>
      <c r="T42" s="86"/>
      <c r="U42" s="86"/>
      <c r="V42" s="86"/>
      <c r="W42" s="86"/>
      <c r="X42" s="86"/>
      <c r="Y42" s="86"/>
      <c r="Z42" s="86"/>
    </row>
    <row r="43">
      <c r="A43" s="139" t="s">
        <v>779</v>
      </c>
      <c r="B43" s="133" t="s">
        <v>723</v>
      </c>
      <c r="C43" s="140" t="str">
        <f t="shared" ref="C43:H43" si="13">C40*C42</f>
        <v>#N/A</v>
      </c>
      <c r="D43" s="141" t="str">
        <f t="shared" si="13"/>
        <v>#N/A</v>
      </c>
      <c r="E43" s="141" t="str">
        <f t="shared" si="13"/>
        <v>#N/A</v>
      </c>
      <c r="F43" s="141" t="str">
        <f t="shared" si="13"/>
        <v>#N/A</v>
      </c>
      <c r="G43" s="141" t="str">
        <f t="shared" si="13"/>
        <v>#N/A</v>
      </c>
      <c r="H43" s="142" t="str">
        <f t="shared" si="13"/>
        <v>#N/A</v>
      </c>
      <c r="I43" s="87"/>
      <c r="J43" s="88"/>
      <c r="K43" s="86"/>
      <c r="L43" s="86"/>
      <c r="M43" s="86"/>
      <c r="N43" s="86"/>
      <c r="O43" s="86"/>
      <c r="P43" s="86"/>
      <c r="Q43" s="86"/>
      <c r="R43" s="86"/>
      <c r="S43" s="86"/>
      <c r="T43" s="86"/>
      <c r="U43" s="86"/>
      <c r="V43" s="86"/>
      <c r="W43" s="86"/>
      <c r="X43" s="86"/>
      <c r="Y43" s="86"/>
      <c r="Z43" s="86"/>
    </row>
    <row r="44">
      <c r="A44" s="139" t="s">
        <v>780</v>
      </c>
      <c r="B44" s="133" t="s">
        <v>723</v>
      </c>
      <c r="C44" s="140" t="str">
        <f>C43</f>
        <v>#N/A</v>
      </c>
      <c r="D44" s="140" t="str">
        <f t="shared" ref="D44:H44" si="14">C44+D43</f>
        <v>#N/A</v>
      </c>
      <c r="E44" s="140" t="str">
        <f t="shared" si="14"/>
        <v>#N/A</v>
      </c>
      <c r="F44" s="140" t="str">
        <f t="shared" si="14"/>
        <v>#N/A</v>
      </c>
      <c r="G44" s="140" t="str">
        <f t="shared" si="14"/>
        <v>#N/A</v>
      </c>
      <c r="H44" s="142" t="str">
        <f t="shared" si="14"/>
        <v>#N/A</v>
      </c>
      <c r="I44" s="87"/>
      <c r="J44" s="88"/>
      <c r="K44" s="86"/>
      <c r="L44" s="86"/>
      <c r="M44" s="86"/>
      <c r="N44" s="86"/>
      <c r="O44" s="86"/>
      <c r="P44" s="86"/>
      <c r="Q44" s="86"/>
      <c r="R44" s="86"/>
      <c r="S44" s="86"/>
      <c r="T44" s="86"/>
      <c r="U44" s="86"/>
      <c r="V44" s="86"/>
      <c r="W44" s="86"/>
      <c r="X44" s="86"/>
      <c r="Y44" s="86"/>
      <c r="Z44" s="86"/>
    </row>
    <row r="45">
      <c r="A45" s="132" t="s">
        <v>781</v>
      </c>
      <c r="B45" s="133" t="s">
        <v>782</v>
      </c>
      <c r="C45" s="132"/>
      <c r="D45" s="132"/>
      <c r="E45" s="132"/>
      <c r="F45" s="132"/>
      <c r="G45" s="145" t="str">
        <f>IF(AND(F41&lt;0,G41&gt;=0),F$23+(-F41)/G40,"")</f>
        <v>#N/A</v>
      </c>
      <c r="H45" s="146"/>
      <c r="I45" s="87"/>
      <c r="J45" s="88"/>
      <c r="K45" s="86"/>
      <c r="L45" s="86"/>
      <c r="M45" s="86"/>
      <c r="N45" s="86"/>
      <c r="O45" s="86"/>
      <c r="P45" s="86"/>
      <c r="Q45" s="86"/>
      <c r="R45" s="86"/>
      <c r="S45" s="86"/>
      <c r="T45" s="86"/>
      <c r="U45" s="86"/>
      <c r="V45" s="86"/>
      <c r="W45" s="86"/>
      <c r="X45" s="86"/>
      <c r="Y45" s="86"/>
      <c r="Z45" s="86"/>
    </row>
    <row r="46">
      <c r="A46" s="132"/>
      <c r="B46" s="133"/>
      <c r="C46" s="132"/>
      <c r="D46" s="132"/>
      <c r="E46" s="132"/>
      <c r="F46" s="132"/>
      <c r="G46" s="132"/>
      <c r="H46" s="147"/>
      <c r="I46" s="87"/>
      <c r="J46" s="88"/>
      <c r="K46" s="86"/>
      <c r="L46" s="86"/>
      <c r="M46" s="86"/>
      <c r="N46" s="86"/>
      <c r="O46" s="86"/>
      <c r="P46" s="86"/>
      <c r="Q46" s="86"/>
      <c r="R46" s="86"/>
      <c r="S46" s="86"/>
      <c r="T46" s="86"/>
      <c r="U46" s="86"/>
      <c r="V46" s="86"/>
      <c r="W46" s="86"/>
      <c r="X46" s="86"/>
      <c r="Y46" s="86"/>
      <c r="Z46" s="86"/>
    </row>
    <row r="47">
      <c r="A47" s="148"/>
      <c r="B47" s="149"/>
      <c r="C47" s="149"/>
      <c r="D47" s="149"/>
      <c r="E47" s="149"/>
      <c r="F47" s="149"/>
      <c r="G47" s="149"/>
      <c r="H47" s="150"/>
      <c r="I47" s="87"/>
      <c r="J47" s="88"/>
      <c r="K47" s="86"/>
      <c r="L47" s="86"/>
      <c r="M47" s="86"/>
      <c r="N47" s="86"/>
      <c r="O47" s="86"/>
      <c r="P47" s="86"/>
      <c r="Q47" s="86"/>
      <c r="R47" s="86"/>
      <c r="S47" s="86"/>
      <c r="T47" s="86"/>
      <c r="U47" s="86"/>
      <c r="V47" s="86"/>
      <c r="W47" s="86"/>
      <c r="X47" s="86"/>
      <c r="Y47" s="86"/>
      <c r="Z47" s="86"/>
    </row>
    <row r="48">
      <c r="A48" s="151"/>
      <c r="B48" s="152"/>
      <c r="C48" s="152"/>
      <c r="D48" s="152"/>
      <c r="E48" s="152"/>
      <c r="F48" s="152"/>
      <c r="G48" s="152"/>
      <c r="H48" s="153"/>
      <c r="I48" s="87"/>
      <c r="J48" s="88"/>
      <c r="K48" s="86"/>
      <c r="L48" s="86"/>
      <c r="M48" s="86"/>
      <c r="N48" s="86"/>
      <c r="O48" s="86"/>
      <c r="P48" s="86"/>
      <c r="Q48" s="86"/>
      <c r="R48" s="86"/>
      <c r="S48" s="86"/>
      <c r="T48" s="86"/>
      <c r="U48" s="86"/>
      <c r="V48" s="86"/>
      <c r="W48" s="86"/>
      <c r="X48" s="86"/>
      <c r="Y48" s="86"/>
      <c r="Z48" s="86"/>
    </row>
    <row r="49">
      <c r="A49" s="125" t="s">
        <v>784</v>
      </c>
      <c r="B49" s="126"/>
      <c r="C49" s="127"/>
      <c r="D49" s="127"/>
      <c r="E49" s="127"/>
      <c r="F49" s="127"/>
      <c r="G49" s="127"/>
      <c r="H49" s="127"/>
      <c r="I49" s="87"/>
      <c r="J49" s="88"/>
      <c r="K49" s="86"/>
      <c r="L49" s="86"/>
      <c r="M49" s="86"/>
      <c r="N49" s="86"/>
      <c r="O49" s="86"/>
      <c r="P49" s="86"/>
      <c r="Q49" s="86"/>
      <c r="R49" s="86"/>
      <c r="S49" s="86"/>
      <c r="T49" s="86"/>
      <c r="U49" s="86"/>
      <c r="V49" s="86"/>
      <c r="W49" s="86"/>
      <c r="X49" s="86"/>
      <c r="Y49" s="86"/>
      <c r="Z49" s="86"/>
    </row>
    <row r="50">
      <c r="A50" s="128" t="s">
        <v>750</v>
      </c>
      <c r="B50" s="129" t="s">
        <v>711</v>
      </c>
      <c r="C50" s="154" t="s">
        <v>752</v>
      </c>
      <c r="D50" s="154" t="s">
        <v>754</v>
      </c>
      <c r="E50" s="154" t="s">
        <v>755</v>
      </c>
      <c r="F50" s="154" t="s">
        <v>756</v>
      </c>
      <c r="G50" s="154" t="s">
        <v>757</v>
      </c>
      <c r="H50" s="155" t="s">
        <v>758</v>
      </c>
      <c r="I50" s="87"/>
      <c r="J50" s="88"/>
      <c r="K50" s="86"/>
      <c r="L50" s="86"/>
      <c r="M50" s="86"/>
      <c r="N50" s="86"/>
      <c r="O50" s="86"/>
      <c r="P50" s="86"/>
      <c r="Q50" s="86"/>
      <c r="R50" s="86"/>
      <c r="S50" s="86"/>
      <c r="T50" s="86"/>
      <c r="U50" s="86"/>
      <c r="V50" s="86"/>
      <c r="W50" s="86"/>
      <c r="X50" s="86"/>
      <c r="Y50" s="86"/>
      <c r="Z50" s="86"/>
    </row>
    <row r="51">
      <c r="A51" s="132" t="s">
        <v>759</v>
      </c>
      <c r="B51" s="133" t="s">
        <v>760</v>
      </c>
      <c r="C51" s="134">
        <f t="shared" ref="C51:H51" si="15">IF(C$23&lt;=$B$11,1,0)</f>
        <v>1</v>
      </c>
      <c r="D51" s="134">
        <f t="shared" si="15"/>
        <v>1</v>
      </c>
      <c r="E51" s="134">
        <f t="shared" si="15"/>
        <v>1</v>
      </c>
      <c r="F51" s="134">
        <f t="shared" si="15"/>
        <v>1</v>
      </c>
      <c r="G51" s="134">
        <f t="shared" si="15"/>
        <v>1</v>
      </c>
      <c r="H51" s="156">
        <f t="shared" si="15"/>
        <v>1</v>
      </c>
      <c r="I51" s="87"/>
      <c r="J51" s="88"/>
      <c r="K51" s="86"/>
      <c r="L51" s="86"/>
      <c r="M51" s="86"/>
      <c r="N51" s="86"/>
      <c r="O51" s="86"/>
      <c r="P51" s="86"/>
      <c r="Q51" s="86"/>
      <c r="R51" s="86"/>
      <c r="S51" s="86"/>
      <c r="T51" s="86"/>
      <c r="U51" s="86"/>
      <c r="V51" s="86"/>
      <c r="W51" s="86"/>
      <c r="X51" s="86"/>
      <c r="Y51" s="86"/>
      <c r="Z51" s="86"/>
    </row>
    <row r="52">
      <c r="A52" s="132" t="s">
        <v>761</v>
      </c>
      <c r="B52" s="133" t="s">
        <v>723</v>
      </c>
      <c r="C52" s="134">
        <f t="shared" ref="C52:H52" si="16">C$24*C51*$H29</f>
        <v>0</v>
      </c>
      <c r="D52" s="134">
        <f t="shared" si="16"/>
        <v>18000000</v>
      </c>
      <c r="E52" s="134">
        <f t="shared" si="16"/>
        <v>31500000</v>
      </c>
      <c r="F52" s="134">
        <f t="shared" si="16"/>
        <v>45000000</v>
      </c>
      <c r="G52" s="134">
        <f t="shared" si="16"/>
        <v>45000000</v>
      </c>
      <c r="H52" s="156">
        <f t="shared" si="16"/>
        <v>45000000</v>
      </c>
      <c r="I52" s="87"/>
      <c r="J52" s="88"/>
      <c r="K52" s="86"/>
      <c r="L52" s="86"/>
      <c r="M52" s="86"/>
      <c r="N52" s="86"/>
      <c r="O52" s="86"/>
      <c r="P52" s="86"/>
      <c r="Q52" s="86"/>
      <c r="R52" s="86"/>
      <c r="S52" s="86"/>
      <c r="T52" s="86"/>
      <c r="U52" s="86"/>
      <c r="V52" s="86"/>
      <c r="W52" s="86"/>
      <c r="X52" s="86"/>
      <c r="Y52" s="86"/>
      <c r="Z52" s="86"/>
    </row>
    <row r="53">
      <c r="A53" s="132" t="s">
        <v>762</v>
      </c>
      <c r="B53" s="133" t="s">
        <v>723</v>
      </c>
      <c r="C53" s="135">
        <f t="shared" ref="C53:H53" si="17">-IF(C$23=0,0,C51*$I29)</f>
        <v>0</v>
      </c>
      <c r="D53" s="157" t="str">
        <f t="shared" si="17"/>
        <v>#N/A</v>
      </c>
      <c r="E53" s="157" t="str">
        <f t="shared" si="17"/>
        <v>#N/A</v>
      </c>
      <c r="F53" s="157" t="str">
        <f t="shared" si="17"/>
        <v>#N/A</v>
      </c>
      <c r="G53" s="157" t="str">
        <f t="shared" si="17"/>
        <v>#N/A</v>
      </c>
      <c r="H53" s="158" t="str">
        <f t="shared" si="17"/>
        <v>#N/A</v>
      </c>
      <c r="I53" s="87"/>
      <c r="J53" s="88"/>
      <c r="K53" s="86"/>
      <c r="L53" s="86"/>
      <c r="M53" s="86"/>
      <c r="N53" s="86"/>
      <c r="O53" s="86"/>
      <c r="P53" s="86"/>
      <c r="Q53" s="86"/>
      <c r="R53" s="86"/>
      <c r="S53" s="86"/>
      <c r="T53" s="86"/>
      <c r="U53" s="86"/>
      <c r="V53" s="86"/>
      <c r="W53" s="86"/>
      <c r="X53" s="86"/>
      <c r="Y53" s="86"/>
      <c r="Z53" s="86"/>
    </row>
    <row r="54">
      <c r="A54" s="132" t="s">
        <v>769</v>
      </c>
      <c r="B54" s="133" t="s">
        <v>723</v>
      </c>
      <c r="C54" s="137" t="str">
        <f t="shared" ref="C54:H54" si="18">IF(C$23=0,-$G29,0)</f>
        <v>#N/A</v>
      </c>
      <c r="D54" s="135">
        <f t="shared" si="18"/>
        <v>0</v>
      </c>
      <c r="E54" s="135">
        <f t="shared" si="18"/>
        <v>0</v>
      </c>
      <c r="F54" s="135">
        <f t="shared" si="18"/>
        <v>0</v>
      </c>
      <c r="G54" s="135">
        <f t="shared" si="18"/>
        <v>0</v>
      </c>
      <c r="H54" s="136">
        <f t="shared" si="18"/>
        <v>0</v>
      </c>
      <c r="I54" s="87"/>
      <c r="J54" s="88"/>
      <c r="K54" s="86"/>
      <c r="L54" s="86"/>
      <c r="M54" s="86"/>
      <c r="N54" s="86"/>
      <c r="O54" s="86"/>
      <c r="P54" s="86"/>
      <c r="Q54" s="86"/>
      <c r="R54" s="86"/>
      <c r="S54" s="86"/>
      <c r="T54" s="86"/>
      <c r="U54" s="86"/>
      <c r="V54" s="86"/>
      <c r="W54" s="86"/>
      <c r="X54" s="86"/>
      <c r="Y54" s="86"/>
      <c r="Z54" s="86"/>
    </row>
    <row r="55">
      <c r="A55" s="139" t="s">
        <v>773</v>
      </c>
      <c r="B55" s="133" t="s">
        <v>723</v>
      </c>
      <c r="C55" s="140">
        <v>-7.1462E7</v>
      </c>
      <c r="D55" s="141" t="str">
        <f t="shared" ref="D55:H55" si="19">D52+D53+D54</f>
        <v>#N/A</v>
      </c>
      <c r="E55" s="141" t="str">
        <f t="shared" si="19"/>
        <v>#N/A</v>
      </c>
      <c r="F55" s="141" t="str">
        <f t="shared" si="19"/>
        <v>#N/A</v>
      </c>
      <c r="G55" s="141" t="str">
        <f t="shared" si="19"/>
        <v>#N/A</v>
      </c>
      <c r="H55" s="142" t="str">
        <f t="shared" si="19"/>
        <v>#N/A</v>
      </c>
      <c r="I55" s="87"/>
      <c r="J55" s="88"/>
      <c r="K55" s="86"/>
      <c r="L55" s="86"/>
      <c r="M55" s="86"/>
      <c r="N55" s="86"/>
      <c r="O55" s="86"/>
      <c r="P55" s="86"/>
      <c r="Q55" s="86"/>
      <c r="R55" s="86"/>
      <c r="S55" s="86"/>
      <c r="T55" s="86"/>
      <c r="U55" s="86"/>
      <c r="V55" s="86"/>
      <c r="W55" s="86"/>
      <c r="X55" s="86"/>
      <c r="Y55" s="86"/>
      <c r="Z55" s="86"/>
    </row>
    <row r="56">
      <c r="A56" s="139" t="s">
        <v>774</v>
      </c>
      <c r="B56" s="133" t="s">
        <v>723</v>
      </c>
      <c r="C56" s="159">
        <f>C55</f>
        <v>-71462000</v>
      </c>
      <c r="D56" s="140" t="str">
        <f t="shared" ref="D56:H56" si="20">C56+D55</f>
        <v>#N/A</v>
      </c>
      <c r="E56" s="140" t="str">
        <f t="shared" si="20"/>
        <v>#N/A</v>
      </c>
      <c r="F56" s="140" t="str">
        <f t="shared" si="20"/>
        <v>#N/A</v>
      </c>
      <c r="G56" s="141" t="str">
        <f t="shared" si="20"/>
        <v>#N/A</v>
      </c>
      <c r="H56" s="142" t="str">
        <f t="shared" si="20"/>
        <v>#N/A</v>
      </c>
      <c r="I56" s="87"/>
      <c r="J56" s="88"/>
      <c r="K56" s="86"/>
      <c r="L56" s="86"/>
      <c r="M56" s="86"/>
      <c r="N56" s="86"/>
      <c r="O56" s="86"/>
      <c r="P56" s="86"/>
      <c r="Q56" s="86"/>
      <c r="R56" s="86"/>
      <c r="S56" s="86"/>
      <c r="T56" s="86"/>
      <c r="U56" s="86"/>
      <c r="V56" s="86"/>
      <c r="W56" s="86"/>
      <c r="X56" s="86"/>
      <c r="Y56" s="86"/>
      <c r="Z56" s="86"/>
    </row>
    <row r="57">
      <c r="A57" s="132" t="s">
        <v>775</v>
      </c>
      <c r="B57" s="133" t="s">
        <v>776</v>
      </c>
      <c r="C57" s="143">
        <f t="shared" ref="C57:H57" si="21">1/(1+$B$10)^C$23</f>
        <v>1</v>
      </c>
      <c r="D57" s="143">
        <f t="shared" si="21"/>
        <v>0.8928571429</v>
      </c>
      <c r="E57" s="143">
        <f t="shared" si="21"/>
        <v>0.7971938776</v>
      </c>
      <c r="F57" s="143">
        <f t="shared" si="21"/>
        <v>0.7117802478</v>
      </c>
      <c r="G57" s="143">
        <f t="shared" si="21"/>
        <v>0.6355180784</v>
      </c>
      <c r="H57" s="144">
        <f t="shared" si="21"/>
        <v>0.5674268557</v>
      </c>
      <c r="I57" s="87"/>
      <c r="J57" s="88"/>
      <c r="K57" s="86"/>
      <c r="L57" s="86"/>
      <c r="M57" s="86"/>
      <c r="N57" s="86"/>
      <c r="O57" s="86"/>
      <c r="P57" s="86"/>
      <c r="Q57" s="86"/>
      <c r="R57" s="86"/>
      <c r="S57" s="86"/>
      <c r="T57" s="86"/>
      <c r="U57" s="86"/>
      <c r="V57" s="86"/>
      <c r="W57" s="86"/>
      <c r="X57" s="86"/>
      <c r="Y57" s="86"/>
      <c r="Z57" s="86"/>
    </row>
    <row r="58">
      <c r="A58" s="139" t="s">
        <v>779</v>
      </c>
      <c r="B58" s="133" t="s">
        <v>723</v>
      </c>
      <c r="C58" s="140">
        <f t="shared" ref="C58:H58" si="22">C55*C57</f>
        <v>-71462000</v>
      </c>
      <c r="D58" s="141" t="str">
        <f t="shared" si="22"/>
        <v>#N/A</v>
      </c>
      <c r="E58" s="141" t="str">
        <f t="shared" si="22"/>
        <v>#N/A</v>
      </c>
      <c r="F58" s="141" t="str">
        <f t="shared" si="22"/>
        <v>#N/A</v>
      </c>
      <c r="G58" s="141" t="str">
        <f t="shared" si="22"/>
        <v>#N/A</v>
      </c>
      <c r="H58" s="142" t="str">
        <f t="shared" si="22"/>
        <v>#N/A</v>
      </c>
      <c r="I58" s="87"/>
      <c r="J58" s="88"/>
      <c r="K58" s="86"/>
      <c r="L58" s="86"/>
      <c r="M58" s="86"/>
      <c r="N58" s="86"/>
      <c r="O58" s="86"/>
      <c r="P58" s="86"/>
      <c r="Q58" s="86"/>
      <c r="R58" s="86"/>
      <c r="S58" s="86"/>
      <c r="T58" s="86"/>
      <c r="U58" s="86"/>
      <c r="V58" s="86"/>
      <c r="W58" s="86"/>
      <c r="X58" s="86"/>
      <c r="Y58" s="86"/>
      <c r="Z58" s="86"/>
    </row>
    <row r="59">
      <c r="A59" s="139" t="s">
        <v>780</v>
      </c>
      <c r="B59" s="133" t="s">
        <v>723</v>
      </c>
      <c r="C59" s="140">
        <f>C58</f>
        <v>-71462000</v>
      </c>
      <c r="D59" s="140" t="str">
        <f t="shared" ref="D59:H59" si="23">C59+D58</f>
        <v>#N/A</v>
      </c>
      <c r="E59" s="140" t="str">
        <f t="shared" si="23"/>
        <v>#N/A</v>
      </c>
      <c r="F59" s="140" t="str">
        <f t="shared" si="23"/>
        <v>#N/A</v>
      </c>
      <c r="G59" s="140" t="str">
        <f t="shared" si="23"/>
        <v>#N/A</v>
      </c>
      <c r="H59" s="142" t="str">
        <f t="shared" si="23"/>
        <v>#N/A</v>
      </c>
      <c r="I59" s="87"/>
      <c r="J59" s="88"/>
      <c r="K59" s="86"/>
      <c r="L59" s="86"/>
      <c r="M59" s="86"/>
      <c r="N59" s="86"/>
      <c r="O59" s="86"/>
      <c r="P59" s="86"/>
      <c r="Q59" s="86"/>
      <c r="R59" s="86"/>
      <c r="S59" s="86"/>
      <c r="T59" s="86"/>
      <c r="U59" s="86"/>
      <c r="V59" s="86"/>
      <c r="W59" s="86"/>
      <c r="X59" s="86"/>
      <c r="Y59" s="86"/>
      <c r="Z59" s="86"/>
    </row>
    <row r="60">
      <c r="A60" s="132" t="s">
        <v>793</v>
      </c>
      <c r="B60" s="133" t="s">
        <v>782</v>
      </c>
      <c r="C60" s="132"/>
      <c r="D60" s="132"/>
      <c r="E60" s="132"/>
      <c r="F60" s="132"/>
      <c r="G60" s="145" t="str">
        <f>IF(AND(F56&lt;0,G56&gt;=0),F$23+(-F56)/G55,"")</f>
        <v>#N/A</v>
      </c>
      <c r="H60" s="146"/>
      <c r="I60" s="87"/>
      <c r="J60" s="88"/>
      <c r="K60" s="86"/>
      <c r="L60" s="86"/>
      <c r="M60" s="86"/>
      <c r="N60" s="86"/>
      <c r="O60" s="86"/>
      <c r="P60" s="86"/>
      <c r="Q60" s="86"/>
      <c r="R60" s="86"/>
      <c r="S60" s="86"/>
      <c r="T60" s="86"/>
      <c r="U60" s="86"/>
      <c r="V60" s="86"/>
      <c r="W60" s="86"/>
      <c r="X60" s="86"/>
      <c r="Y60" s="86"/>
      <c r="Z60" s="86"/>
    </row>
    <row r="61">
      <c r="A61" s="132"/>
      <c r="B61" s="133"/>
      <c r="C61" s="132"/>
      <c r="D61" s="132"/>
      <c r="E61" s="132"/>
      <c r="F61" s="132"/>
      <c r="G61" s="132"/>
      <c r="H61" s="147"/>
      <c r="I61" s="87"/>
      <c r="J61" s="88"/>
      <c r="K61" s="86"/>
      <c r="L61" s="86"/>
      <c r="M61" s="86"/>
      <c r="N61" s="86"/>
      <c r="O61" s="86"/>
      <c r="P61" s="86"/>
      <c r="Q61" s="86"/>
      <c r="R61" s="86"/>
      <c r="S61" s="86"/>
      <c r="T61" s="86"/>
      <c r="U61" s="86"/>
      <c r="V61" s="86"/>
      <c r="W61" s="86"/>
      <c r="X61" s="86"/>
      <c r="Y61" s="86"/>
      <c r="Z61" s="86"/>
    </row>
    <row r="62">
      <c r="A62" s="148"/>
      <c r="B62" s="149"/>
      <c r="C62" s="149"/>
      <c r="D62" s="149"/>
      <c r="E62" s="149"/>
      <c r="F62" s="149"/>
      <c r="G62" s="149"/>
      <c r="H62" s="150"/>
      <c r="I62" s="87"/>
      <c r="J62" s="88"/>
      <c r="K62" s="86"/>
      <c r="L62" s="86"/>
      <c r="M62" s="86"/>
      <c r="N62" s="86"/>
      <c r="O62" s="86"/>
      <c r="P62" s="86"/>
      <c r="Q62" s="86"/>
      <c r="R62" s="86"/>
      <c r="S62" s="86"/>
      <c r="T62" s="86"/>
      <c r="U62" s="86"/>
      <c r="V62" s="86"/>
      <c r="W62" s="86"/>
      <c r="X62" s="86"/>
      <c r="Y62" s="86"/>
      <c r="Z62" s="86"/>
    </row>
    <row r="63">
      <c r="A63" s="151"/>
      <c r="B63" s="152"/>
      <c r="C63" s="152"/>
      <c r="D63" s="152"/>
      <c r="E63" s="152"/>
      <c r="F63" s="152"/>
      <c r="G63" s="152"/>
      <c r="H63" s="153"/>
      <c r="I63" s="87"/>
      <c r="J63" s="88"/>
      <c r="K63" s="86"/>
      <c r="L63" s="86"/>
      <c r="M63" s="86"/>
      <c r="N63" s="86"/>
      <c r="O63" s="86"/>
      <c r="P63" s="86"/>
      <c r="Q63" s="86"/>
      <c r="R63" s="86"/>
      <c r="S63" s="86"/>
      <c r="T63" s="86"/>
      <c r="U63" s="86"/>
      <c r="V63" s="86"/>
      <c r="W63" s="86"/>
      <c r="X63" s="86"/>
      <c r="Y63" s="86"/>
      <c r="Z63" s="86"/>
    </row>
    <row r="64">
      <c r="A64" s="125" t="s">
        <v>794</v>
      </c>
      <c r="B64" s="126"/>
      <c r="C64" s="127"/>
      <c r="D64" s="127"/>
      <c r="E64" s="127"/>
      <c r="F64" s="127"/>
      <c r="G64" s="127"/>
      <c r="H64" s="127"/>
      <c r="I64" s="87"/>
      <c r="J64" s="88"/>
      <c r="K64" s="86"/>
      <c r="L64" s="86"/>
      <c r="M64" s="86"/>
      <c r="N64" s="86"/>
      <c r="O64" s="86"/>
      <c r="P64" s="86"/>
      <c r="Q64" s="86"/>
      <c r="R64" s="86"/>
      <c r="S64" s="86"/>
      <c r="T64" s="86"/>
      <c r="U64" s="86"/>
      <c r="V64" s="86"/>
      <c r="W64" s="86"/>
      <c r="X64" s="86"/>
      <c r="Y64" s="86"/>
      <c r="Z64" s="86"/>
    </row>
    <row r="65">
      <c r="A65" s="128" t="s">
        <v>750</v>
      </c>
      <c r="B65" s="129" t="s">
        <v>711</v>
      </c>
      <c r="C65" s="129" t="s">
        <v>752</v>
      </c>
      <c r="D65" s="129" t="s">
        <v>754</v>
      </c>
      <c r="E65" s="129" t="s">
        <v>755</v>
      </c>
      <c r="F65" s="129" t="s">
        <v>756</v>
      </c>
      <c r="G65" s="129" t="s">
        <v>757</v>
      </c>
      <c r="H65" s="160" t="s">
        <v>758</v>
      </c>
      <c r="I65" s="87"/>
      <c r="J65" s="88"/>
      <c r="K65" s="86"/>
      <c r="L65" s="86"/>
      <c r="M65" s="86"/>
      <c r="N65" s="86"/>
      <c r="O65" s="86"/>
      <c r="P65" s="86"/>
      <c r="Q65" s="86"/>
      <c r="R65" s="86"/>
      <c r="S65" s="86"/>
      <c r="T65" s="86"/>
      <c r="U65" s="86"/>
      <c r="V65" s="86"/>
      <c r="W65" s="86"/>
      <c r="X65" s="86"/>
      <c r="Y65" s="86"/>
      <c r="Z65" s="86"/>
    </row>
    <row r="66">
      <c r="A66" s="132" t="s">
        <v>759</v>
      </c>
      <c r="B66" s="133" t="s">
        <v>760</v>
      </c>
      <c r="C66" s="134">
        <f t="shared" ref="C66:H66" si="24">IF(C$23&lt;=$B$11,1,0)</f>
        <v>1</v>
      </c>
      <c r="D66" s="134">
        <f t="shared" si="24"/>
        <v>1</v>
      </c>
      <c r="E66" s="134">
        <f t="shared" si="24"/>
        <v>1</v>
      </c>
      <c r="F66" s="134">
        <f t="shared" si="24"/>
        <v>1</v>
      </c>
      <c r="G66" s="134">
        <f t="shared" si="24"/>
        <v>1</v>
      </c>
      <c r="H66" s="156">
        <f t="shared" si="24"/>
        <v>1</v>
      </c>
      <c r="I66" s="87"/>
      <c r="J66" s="88"/>
      <c r="K66" s="86"/>
      <c r="L66" s="86"/>
      <c r="M66" s="86"/>
      <c r="N66" s="86"/>
      <c r="O66" s="86"/>
      <c r="P66" s="86"/>
      <c r="Q66" s="86"/>
      <c r="R66" s="86"/>
      <c r="S66" s="86"/>
      <c r="T66" s="86"/>
      <c r="U66" s="86"/>
      <c r="V66" s="86"/>
      <c r="W66" s="86"/>
      <c r="X66" s="86"/>
      <c r="Y66" s="86"/>
      <c r="Z66" s="86"/>
    </row>
    <row r="67">
      <c r="A67" s="132" t="s">
        <v>761</v>
      </c>
      <c r="B67" s="133" t="s">
        <v>723</v>
      </c>
      <c r="C67" s="134">
        <f t="shared" ref="C67:H67" si="25">C$24*C66*$H30</f>
        <v>0</v>
      </c>
      <c r="D67" s="134">
        <f t="shared" si="25"/>
        <v>22000000</v>
      </c>
      <c r="E67" s="134">
        <f t="shared" si="25"/>
        <v>38500000</v>
      </c>
      <c r="F67" s="134">
        <f t="shared" si="25"/>
        <v>55000000</v>
      </c>
      <c r="G67" s="134">
        <f t="shared" si="25"/>
        <v>55000000</v>
      </c>
      <c r="H67" s="156">
        <f t="shared" si="25"/>
        <v>55000000</v>
      </c>
      <c r="I67" s="87"/>
      <c r="J67" s="88"/>
      <c r="K67" s="86"/>
      <c r="L67" s="86"/>
      <c r="M67" s="86"/>
      <c r="N67" s="86"/>
      <c r="O67" s="86"/>
      <c r="P67" s="86"/>
      <c r="Q67" s="86"/>
      <c r="R67" s="86"/>
      <c r="S67" s="86"/>
      <c r="T67" s="86"/>
      <c r="U67" s="86"/>
      <c r="V67" s="86"/>
      <c r="W67" s="86"/>
      <c r="X67" s="86"/>
      <c r="Y67" s="86"/>
      <c r="Z67" s="86"/>
    </row>
    <row r="68">
      <c r="A68" s="132" t="s">
        <v>762</v>
      </c>
      <c r="B68" s="133" t="s">
        <v>723</v>
      </c>
      <c r="C68" s="135">
        <f t="shared" ref="C68:H68" si="26">-IF(C$23=0,0,C66*$I30)</f>
        <v>0</v>
      </c>
      <c r="D68" s="157" t="str">
        <f t="shared" si="26"/>
        <v>#N/A</v>
      </c>
      <c r="E68" s="157" t="str">
        <f t="shared" si="26"/>
        <v>#N/A</v>
      </c>
      <c r="F68" s="157" t="str">
        <f t="shared" si="26"/>
        <v>#N/A</v>
      </c>
      <c r="G68" s="157" t="str">
        <f t="shared" si="26"/>
        <v>#N/A</v>
      </c>
      <c r="H68" s="158" t="str">
        <f t="shared" si="26"/>
        <v>#N/A</v>
      </c>
      <c r="I68" s="87"/>
      <c r="J68" s="88"/>
      <c r="K68" s="86"/>
      <c r="L68" s="86"/>
      <c r="M68" s="86"/>
      <c r="N68" s="86"/>
      <c r="O68" s="86"/>
      <c r="P68" s="86"/>
      <c r="Q68" s="86"/>
      <c r="R68" s="86"/>
      <c r="S68" s="86"/>
      <c r="T68" s="86"/>
      <c r="U68" s="86"/>
      <c r="V68" s="86"/>
      <c r="W68" s="86"/>
      <c r="X68" s="86"/>
      <c r="Y68" s="86"/>
      <c r="Z68" s="86"/>
    </row>
    <row r="69">
      <c r="A69" s="132" t="s">
        <v>769</v>
      </c>
      <c r="B69" s="133" t="s">
        <v>723</v>
      </c>
      <c r="C69" s="137" t="str">
        <f t="shared" ref="C69:H69" si="27">IF(C$23=0,-$G30,0)</f>
        <v>#N/A</v>
      </c>
      <c r="D69" s="135">
        <f t="shared" si="27"/>
        <v>0</v>
      </c>
      <c r="E69" s="135">
        <f t="shared" si="27"/>
        <v>0</v>
      </c>
      <c r="F69" s="135">
        <f t="shared" si="27"/>
        <v>0</v>
      </c>
      <c r="G69" s="135">
        <f t="shared" si="27"/>
        <v>0</v>
      </c>
      <c r="H69" s="136">
        <f t="shared" si="27"/>
        <v>0</v>
      </c>
      <c r="I69" s="87"/>
      <c r="J69" s="88"/>
      <c r="K69" s="86"/>
      <c r="L69" s="86"/>
      <c r="M69" s="86"/>
      <c r="N69" s="86"/>
      <c r="O69" s="86"/>
      <c r="P69" s="86"/>
      <c r="Q69" s="86"/>
      <c r="R69" s="86"/>
      <c r="S69" s="86"/>
      <c r="T69" s="86"/>
      <c r="U69" s="86"/>
      <c r="V69" s="86"/>
      <c r="W69" s="86"/>
      <c r="X69" s="86"/>
      <c r="Y69" s="86"/>
      <c r="Z69" s="86"/>
    </row>
    <row r="70">
      <c r="A70" s="139" t="s">
        <v>773</v>
      </c>
      <c r="B70" s="133" t="s">
        <v>723</v>
      </c>
      <c r="C70" s="140" t="str">
        <f t="shared" ref="C70:H70" si="28">C67+C68+C69</f>
        <v>#N/A</v>
      </c>
      <c r="D70" s="141" t="str">
        <f t="shared" si="28"/>
        <v>#N/A</v>
      </c>
      <c r="E70" s="141" t="str">
        <f t="shared" si="28"/>
        <v>#N/A</v>
      </c>
      <c r="F70" s="141" t="str">
        <f t="shared" si="28"/>
        <v>#N/A</v>
      </c>
      <c r="G70" s="141" t="str">
        <f t="shared" si="28"/>
        <v>#N/A</v>
      </c>
      <c r="H70" s="142" t="str">
        <f t="shared" si="28"/>
        <v>#N/A</v>
      </c>
      <c r="I70" s="87"/>
      <c r="J70" s="88"/>
      <c r="K70" s="86"/>
      <c r="L70" s="86"/>
      <c r="M70" s="86"/>
      <c r="N70" s="86"/>
      <c r="O70" s="86"/>
      <c r="P70" s="86"/>
      <c r="Q70" s="86"/>
      <c r="R70" s="86"/>
      <c r="S70" s="86"/>
      <c r="T70" s="86"/>
      <c r="U70" s="86"/>
      <c r="V70" s="86"/>
      <c r="W70" s="86"/>
      <c r="X70" s="86"/>
      <c r="Y70" s="86"/>
      <c r="Z70" s="86"/>
    </row>
    <row r="71">
      <c r="A71" s="139" t="s">
        <v>774</v>
      </c>
      <c r="B71" s="133" t="s">
        <v>723</v>
      </c>
      <c r="C71" s="140" t="str">
        <f>C70</f>
        <v>#N/A</v>
      </c>
      <c r="D71" s="140" t="str">
        <f t="shared" ref="D71:H71" si="29">C71+D70</f>
        <v>#N/A</v>
      </c>
      <c r="E71" s="140" t="str">
        <f t="shared" si="29"/>
        <v>#N/A</v>
      </c>
      <c r="F71" s="140" t="str">
        <f t="shared" si="29"/>
        <v>#N/A</v>
      </c>
      <c r="G71" s="161" t="str">
        <f t="shared" si="29"/>
        <v>#N/A</v>
      </c>
      <c r="H71" s="162" t="str">
        <f t="shared" si="29"/>
        <v>#N/A</v>
      </c>
      <c r="I71" s="87"/>
      <c r="J71" s="88"/>
      <c r="K71" s="86"/>
      <c r="L71" s="86"/>
      <c r="M71" s="86"/>
      <c r="N71" s="86"/>
      <c r="O71" s="86"/>
      <c r="P71" s="86"/>
      <c r="Q71" s="86"/>
      <c r="R71" s="86"/>
      <c r="S71" s="86"/>
      <c r="T71" s="86"/>
      <c r="U71" s="86"/>
      <c r="V71" s="86"/>
      <c r="W71" s="86"/>
      <c r="X71" s="86"/>
      <c r="Y71" s="86"/>
      <c r="Z71" s="86"/>
    </row>
    <row r="72">
      <c r="A72" s="132" t="s">
        <v>775</v>
      </c>
      <c r="B72" s="133" t="s">
        <v>776</v>
      </c>
      <c r="C72" s="143">
        <f t="shared" ref="C72:H72" si="30">1/(1+$B$10)^C$23</f>
        <v>1</v>
      </c>
      <c r="D72" s="143">
        <f t="shared" si="30"/>
        <v>0.8928571429</v>
      </c>
      <c r="E72" s="143">
        <f t="shared" si="30"/>
        <v>0.7971938776</v>
      </c>
      <c r="F72" s="143">
        <f t="shared" si="30"/>
        <v>0.7117802478</v>
      </c>
      <c r="G72" s="143">
        <f t="shared" si="30"/>
        <v>0.6355180784</v>
      </c>
      <c r="H72" s="144">
        <f t="shared" si="30"/>
        <v>0.5674268557</v>
      </c>
      <c r="I72" s="87"/>
      <c r="J72" s="88"/>
      <c r="K72" s="86"/>
      <c r="L72" s="86"/>
      <c r="M72" s="86"/>
      <c r="N72" s="86"/>
      <c r="O72" s="86"/>
      <c r="P72" s="86"/>
      <c r="Q72" s="86"/>
      <c r="R72" s="86"/>
      <c r="S72" s="86"/>
      <c r="T72" s="86"/>
      <c r="U72" s="86"/>
      <c r="V72" s="86"/>
      <c r="W72" s="86"/>
      <c r="X72" s="86"/>
      <c r="Y72" s="86"/>
      <c r="Z72" s="86"/>
    </row>
    <row r="73">
      <c r="A73" s="139" t="s">
        <v>779</v>
      </c>
      <c r="B73" s="133" t="s">
        <v>723</v>
      </c>
      <c r="C73" s="140" t="str">
        <f t="shared" ref="C73:H73" si="31">C70*C72</f>
        <v>#N/A</v>
      </c>
      <c r="D73" s="141" t="str">
        <f t="shared" si="31"/>
        <v>#N/A</v>
      </c>
      <c r="E73" s="141" t="str">
        <f t="shared" si="31"/>
        <v>#N/A</v>
      </c>
      <c r="F73" s="141" t="str">
        <f t="shared" si="31"/>
        <v>#N/A</v>
      </c>
      <c r="G73" s="141" t="str">
        <f t="shared" si="31"/>
        <v>#N/A</v>
      </c>
      <c r="H73" s="142" t="str">
        <f t="shared" si="31"/>
        <v>#N/A</v>
      </c>
      <c r="I73" s="87"/>
      <c r="J73" s="88"/>
      <c r="K73" s="86"/>
      <c r="L73" s="86"/>
      <c r="M73" s="86"/>
      <c r="N73" s="86"/>
      <c r="O73" s="86"/>
      <c r="P73" s="86"/>
      <c r="Q73" s="86"/>
      <c r="R73" s="86"/>
      <c r="S73" s="86"/>
      <c r="T73" s="86"/>
      <c r="U73" s="86"/>
      <c r="V73" s="86"/>
      <c r="W73" s="86"/>
      <c r="X73" s="86"/>
      <c r="Y73" s="86"/>
      <c r="Z73" s="86"/>
    </row>
    <row r="74">
      <c r="A74" s="139" t="s">
        <v>780</v>
      </c>
      <c r="B74" s="133" t="s">
        <v>723</v>
      </c>
      <c r="C74" s="140" t="str">
        <f>C73</f>
        <v>#N/A</v>
      </c>
      <c r="D74" s="140" t="str">
        <f t="shared" ref="D74:H74" si="32">C74+D73</f>
        <v>#N/A</v>
      </c>
      <c r="E74" s="140" t="str">
        <f t="shared" si="32"/>
        <v>#N/A</v>
      </c>
      <c r="F74" s="140" t="str">
        <f t="shared" si="32"/>
        <v>#N/A</v>
      </c>
      <c r="G74" s="140" t="str">
        <f t="shared" si="32"/>
        <v>#N/A</v>
      </c>
      <c r="H74" s="163" t="str">
        <f t="shared" si="32"/>
        <v>#N/A</v>
      </c>
      <c r="I74" s="87"/>
      <c r="J74" s="88"/>
      <c r="K74" s="86"/>
      <c r="L74" s="86"/>
      <c r="M74" s="86"/>
      <c r="N74" s="86"/>
      <c r="O74" s="86"/>
      <c r="P74" s="86"/>
      <c r="Q74" s="86"/>
      <c r="R74" s="86"/>
      <c r="S74" s="86"/>
      <c r="T74" s="86"/>
      <c r="U74" s="86"/>
      <c r="V74" s="86"/>
      <c r="W74" s="86"/>
      <c r="X74" s="86"/>
      <c r="Y74" s="86"/>
      <c r="Z74" s="86"/>
    </row>
    <row r="75">
      <c r="A75" s="132" t="s">
        <v>793</v>
      </c>
      <c r="B75" s="133" t="s">
        <v>782</v>
      </c>
      <c r="C75" s="132"/>
      <c r="D75" s="132"/>
      <c r="E75" s="132"/>
      <c r="F75" s="132"/>
      <c r="G75" s="145" t="str">
        <f>IF(AND(F71&lt;0,G71&gt;=0),F$23+(-F71)/G70,"")</f>
        <v>#N/A</v>
      </c>
      <c r="H75" s="146"/>
      <c r="I75" s="87"/>
      <c r="J75" s="88"/>
      <c r="K75" s="86"/>
      <c r="L75" s="86"/>
      <c r="M75" s="86"/>
      <c r="N75" s="86"/>
      <c r="O75" s="86"/>
      <c r="P75" s="86"/>
      <c r="Q75" s="86"/>
      <c r="R75" s="86"/>
      <c r="S75" s="86"/>
      <c r="T75" s="86"/>
      <c r="U75" s="86"/>
      <c r="V75" s="86"/>
      <c r="W75" s="86"/>
      <c r="X75" s="86"/>
      <c r="Y75" s="86"/>
      <c r="Z75" s="86"/>
    </row>
    <row r="76">
      <c r="A76" s="132"/>
      <c r="B76" s="133"/>
      <c r="C76" s="132"/>
      <c r="D76" s="132"/>
      <c r="E76" s="132"/>
      <c r="F76" s="132"/>
      <c r="G76" s="132"/>
      <c r="H76" s="146"/>
      <c r="I76" s="87"/>
      <c r="J76" s="88"/>
      <c r="K76" s="86"/>
      <c r="L76" s="86"/>
      <c r="M76" s="86"/>
      <c r="N76" s="86"/>
      <c r="O76" s="86"/>
      <c r="P76" s="86"/>
      <c r="Q76" s="86"/>
      <c r="R76" s="86"/>
      <c r="S76" s="86"/>
      <c r="T76" s="86"/>
      <c r="U76" s="86"/>
      <c r="V76" s="86"/>
      <c r="W76" s="86"/>
      <c r="X76" s="86"/>
      <c r="Y76" s="86"/>
      <c r="Z76" s="86"/>
    </row>
    <row r="77">
      <c r="A77" s="148"/>
      <c r="B77" s="149"/>
      <c r="C77" s="149"/>
      <c r="D77" s="149"/>
      <c r="E77" s="149"/>
      <c r="F77" s="149"/>
      <c r="G77" s="149"/>
      <c r="H77" s="150"/>
      <c r="I77" s="87"/>
      <c r="J77" s="88"/>
      <c r="K77" s="86"/>
      <c r="L77" s="86"/>
      <c r="M77" s="86"/>
      <c r="N77" s="86"/>
      <c r="O77" s="86"/>
      <c r="P77" s="86"/>
      <c r="Q77" s="86"/>
      <c r="R77" s="86"/>
      <c r="S77" s="86"/>
      <c r="T77" s="86"/>
      <c r="U77" s="86"/>
      <c r="V77" s="86"/>
      <c r="W77" s="86"/>
      <c r="X77" s="86"/>
      <c r="Y77" s="86"/>
      <c r="Z77" s="86"/>
    </row>
    <row r="78">
      <c r="A78" s="164"/>
      <c r="H78" s="165"/>
      <c r="I78" s="87"/>
      <c r="J78" s="88"/>
      <c r="K78" s="86"/>
      <c r="L78" s="86"/>
      <c r="M78" s="86"/>
      <c r="N78" s="86"/>
      <c r="O78" s="86"/>
      <c r="P78" s="86"/>
      <c r="Q78" s="86"/>
      <c r="R78" s="86"/>
      <c r="S78" s="86"/>
      <c r="T78" s="86"/>
      <c r="U78" s="86"/>
      <c r="V78" s="86"/>
      <c r="W78" s="86"/>
      <c r="X78" s="86"/>
      <c r="Y78" s="86"/>
      <c r="Z78" s="86"/>
    </row>
    <row r="79">
      <c r="A79" s="151"/>
      <c r="B79" s="152"/>
      <c r="C79" s="152"/>
      <c r="D79" s="152"/>
      <c r="E79" s="152"/>
      <c r="F79" s="152"/>
      <c r="G79" s="152"/>
      <c r="H79" s="153"/>
      <c r="I79" s="87"/>
      <c r="J79" s="88"/>
      <c r="K79" s="86"/>
      <c r="L79" s="86"/>
      <c r="M79" s="86"/>
      <c r="N79" s="86"/>
      <c r="O79" s="86"/>
      <c r="P79" s="86"/>
      <c r="Q79" s="86"/>
      <c r="R79" s="86"/>
      <c r="S79" s="86"/>
      <c r="T79" s="86"/>
      <c r="U79" s="86"/>
      <c r="V79" s="86"/>
      <c r="W79" s="86"/>
      <c r="X79" s="86"/>
      <c r="Y79" s="86"/>
      <c r="Z79" s="86"/>
    </row>
    <row r="80">
      <c r="A80" s="123" t="s">
        <v>810</v>
      </c>
      <c r="E80" s="148"/>
      <c r="F80" s="149"/>
      <c r="G80" s="149"/>
      <c r="H80" s="150"/>
      <c r="I80" s="87"/>
      <c r="J80" s="88"/>
      <c r="K80" s="86"/>
      <c r="L80" s="86"/>
      <c r="M80" s="86"/>
      <c r="N80" s="86"/>
      <c r="O80" s="86"/>
      <c r="P80" s="86"/>
      <c r="Q80" s="86"/>
      <c r="R80" s="86"/>
      <c r="S80" s="86"/>
      <c r="T80" s="86"/>
      <c r="U80" s="86"/>
      <c r="V80" s="86"/>
      <c r="W80" s="86"/>
      <c r="X80" s="86"/>
      <c r="Y80" s="86"/>
      <c r="Z80" s="86"/>
    </row>
    <row r="81">
      <c r="A81" s="128" t="s">
        <v>811</v>
      </c>
      <c r="B81" s="130" t="s">
        <v>486</v>
      </c>
      <c r="C81" s="130" t="s">
        <v>488</v>
      </c>
      <c r="D81" s="130" t="s">
        <v>490</v>
      </c>
      <c r="E81" s="164"/>
      <c r="H81" s="165"/>
      <c r="I81" s="87"/>
      <c r="J81" s="88"/>
      <c r="K81" s="86"/>
      <c r="L81" s="86"/>
      <c r="M81" s="86"/>
      <c r="N81" s="86"/>
      <c r="O81" s="86"/>
      <c r="P81" s="86"/>
      <c r="Q81" s="86"/>
      <c r="R81" s="86"/>
      <c r="S81" s="86"/>
      <c r="T81" s="86"/>
      <c r="U81" s="86"/>
      <c r="V81" s="86"/>
      <c r="W81" s="86"/>
      <c r="X81" s="86"/>
      <c r="Y81" s="86"/>
      <c r="Z81" s="86"/>
    </row>
    <row r="82">
      <c r="A82" s="132" t="s">
        <v>812</v>
      </c>
      <c r="B82" s="135" t="str">
        <f>-C40</f>
        <v>#N/A</v>
      </c>
      <c r="C82" s="135">
        <f>-C55</f>
        <v>71462000</v>
      </c>
      <c r="D82" s="135" t="str">
        <f>-C70</f>
        <v>#N/A</v>
      </c>
      <c r="E82" s="164"/>
      <c r="H82" s="165"/>
      <c r="I82" s="87"/>
      <c r="J82" s="88"/>
      <c r="K82" s="86"/>
      <c r="L82" s="86"/>
      <c r="M82" s="86"/>
      <c r="N82" s="86"/>
      <c r="O82" s="86"/>
      <c r="P82" s="86"/>
      <c r="Q82" s="86"/>
      <c r="R82" s="86"/>
      <c r="S82" s="86"/>
      <c r="T82" s="86"/>
      <c r="U82" s="86"/>
      <c r="V82" s="86"/>
      <c r="W82" s="86"/>
      <c r="X82" s="86"/>
      <c r="Y82" s="86"/>
      <c r="Z82" s="86"/>
    </row>
    <row r="83">
      <c r="A83" s="132" t="s">
        <v>815</v>
      </c>
      <c r="B83" s="135">
        <f>H28</f>
        <v>30000000</v>
      </c>
      <c r="C83" s="135">
        <f>H29</f>
        <v>45000000</v>
      </c>
      <c r="D83" s="135">
        <f>H30</f>
        <v>55000000</v>
      </c>
      <c r="E83" s="164"/>
      <c r="H83" s="165"/>
      <c r="I83" s="87"/>
      <c r="J83" s="88"/>
      <c r="K83" s="86"/>
      <c r="L83" s="86"/>
      <c r="M83" s="86"/>
      <c r="N83" s="86"/>
      <c r="O83" s="86"/>
      <c r="P83" s="86"/>
      <c r="Q83" s="86"/>
      <c r="R83" s="86"/>
      <c r="S83" s="86"/>
      <c r="T83" s="86"/>
      <c r="U83" s="86"/>
      <c r="V83" s="86"/>
      <c r="W83" s="86"/>
      <c r="X83" s="86"/>
      <c r="Y83" s="86"/>
      <c r="Z83" s="86"/>
    </row>
    <row r="84">
      <c r="A84" s="132" t="s">
        <v>816</v>
      </c>
      <c r="B84" s="135">
        <f>SUM(C37:H37)</f>
        <v>123000000</v>
      </c>
      <c r="C84" s="135">
        <f>SUM(C52:H52)</f>
        <v>184500000</v>
      </c>
      <c r="D84" s="135">
        <f>SUM(C67:H67)</f>
        <v>225500000</v>
      </c>
      <c r="E84" s="164"/>
      <c r="H84" s="165"/>
      <c r="I84" s="87"/>
      <c r="J84" s="88"/>
      <c r="K84" s="86"/>
      <c r="L84" s="86"/>
      <c r="M84" s="86"/>
      <c r="N84" s="86"/>
      <c r="O84" s="86"/>
      <c r="P84" s="86"/>
      <c r="Q84" s="86"/>
      <c r="R84" s="86"/>
      <c r="S84" s="86"/>
      <c r="T84" s="86"/>
      <c r="U84" s="86"/>
      <c r="V84" s="86"/>
      <c r="W84" s="86"/>
      <c r="X84" s="86"/>
      <c r="Y84" s="86"/>
      <c r="Z84" s="86"/>
    </row>
    <row r="85">
      <c r="A85" s="132" t="s">
        <v>817</v>
      </c>
      <c r="B85" s="135" t="str">
        <f>-SUM(C38:H38)</f>
        <v>#N/A</v>
      </c>
      <c r="C85" s="135" t="str">
        <f>-SUM(C53:H53)</f>
        <v>#N/A</v>
      </c>
      <c r="D85" s="135" t="str">
        <f>-SUM(C68:H68)</f>
        <v>#N/A</v>
      </c>
      <c r="E85" s="164"/>
      <c r="H85" s="165"/>
      <c r="I85" s="87"/>
      <c r="J85" s="88"/>
      <c r="K85" s="86"/>
      <c r="L85" s="86"/>
      <c r="M85" s="86"/>
      <c r="N85" s="86"/>
      <c r="O85" s="86"/>
      <c r="P85" s="86"/>
      <c r="Q85" s="86"/>
      <c r="R85" s="86"/>
      <c r="S85" s="86"/>
      <c r="T85" s="86"/>
      <c r="U85" s="86"/>
      <c r="V85" s="86"/>
      <c r="W85" s="86"/>
      <c r="X85" s="86"/>
      <c r="Y85" s="86"/>
      <c r="Z85" s="86"/>
    </row>
    <row r="86">
      <c r="A86" s="132" t="s">
        <v>818</v>
      </c>
      <c r="B86" s="135" t="str">
        <f>SUM(C40:H40)</f>
        <v>#N/A</v>
      </c>
      <c r="C86" s="135" t="str">
        <f>SUM(C55:H55)</f>
        <v>#N/A</v>
      </c>
      <c r="D86" s="135" t="str">
        <f>SUM(C70:H70)</f>
        <v>#N/A</v>
      </c>
      <c r="E86" s="164"/>
      <c r="H86" s="165"/>
      <c r="I86" s="87"/>
      <c r="J86" s="88"/>
      <c r="K86" s="86"/>
      <c r="L86" s="86"/>
      <c r="M86" s="86"/>
      <c r="N86" s="86"/>
      <c r="O86" s="86"/>
      <c r="P86" s="86"/>
      <c r="Q86" s="86"/>
      <c r="R86" s="86"/>
      <c r="S86" s="86"/>
      <c r="T86" s="86"/>
      <c r="U86" s="86"/>
      <c r="V86" s="86"/>
      <c r="W86" s="86"/>
      <c r="X86" s="86"/>
      <c r="Y86" s="86"/>
      <c r="Z86" s="86"/>
    </row>
    <row r="87">
      <c r="A87" s="139" t="s">
        <v>822</v>
      </c>
      <c r="B87" s="166" t="str">
        <f t="array" ref="B87">C40+NPV($B$10,D40:H40)</f>
        <v>#N/A</v>
      </c>
      <c r="C87" s="166" t="str">
        <f t="array" ref="C87">C55+NPV($B$10,D55:H55)</f>
        <v>#N/A</v>
      </c>
      <c r="D87" s="167" t="str">
        <f t="array" ref="D87">C70+NPV($B$10,D70:H70)</f>
        <v>#N/A</v>
      </c>
      <c r="E87" s="164"/>
      <c r="H87" s="165"/>
      <c r="I87" s="87"/>
      <c r="J87" s="88"/>
      <c r="K87" s="86"/>
      <c r="L87" s="86"/>
      <c r="M87" s="86"/>
      <c r="N87" s="86"/>
      <c r="O87" s="86"/>
      <c r="P87" s="86"/>
      <c r="Q87" s="86"/>
      <c r="R87" s="86"/>
      <c r="S87" s="86"/>
      <c r="T87" s="86"/>
      <c r="U87" s="86"/>
      <c r="V87" s="86"/>
      <c r="W87" s="86"/>
      <c r="X87" s="86"/>
      <c r="Y87" s="86"/>
      <c r="Z87" s="86"/>
    </row>
    <row r="88">
      <c r="A88" s="139" t="s">
        <v>823</v>
      </c>
      <c r="B88" s="168" t="str">
        <f>IFERROR(IRR(C40:H40),"n/a")</f>
        <v>n/a</v>
      </c>
      <c r="C88" s="168" t="str">
        <f>IFERROR(IRR(C55:H55),"n/a")</f>
        <v>n/a</v>
      </c>
      <c r="D88" s="168" t="str">
        <f>IFERROR(IRR(C70:H70),"n/a")</f>
        <v>n/a</v>
      </c>
      <c r="E88" s="164"/>
      <c r="H88" s="165"/>
      <c r="I88" s="87"/>
      <c r="J88" s="88"/>
      <c r="K88" s="86"/>
      <c r="L88" s="86"/>
      <c r="M88" s="86"/>
      <c r="N88" s="86"/>
      <c r="O88" s="86"/>
      <c r="P88" s="86"/>
      <c r="Q88" s="86"/>
      <c r="R88" s="86"/>
      <c r="S88" s="86"/>
      <c r="T88" s="86"/>
      <c r="U88" s="86"/>
      <c r="V88" s="86"/>
      <c r="W88" s="86"/>
      <c r="X88" s="86"/>
      <c r="Y88" s="86"/>
      <c r="Z88" s="86"/>
    </row>
    <row r="89">
      <c r="A89" s="139" t="s">
        <v>828</v>
      </c>
      <c r="B89" s="169" t="str">
        <f>IF(COUNT(D45:H45)=0,"&gt; horizon",MIN(D45:H45))</f>
        <v>&gt; horizon</v>
      </c>
      <c r="C89" s="169" t="str">
        <f>IF(COUNT(D60:H60)=0,"&gt; horizon",MIN(D60:H60))</f>
        <v>&gt; horizon</v>
      </c>
      <c r="D89" s="169" t="str">
        <f>IF(COUNT(D75:H75)=0,"&gt; horizon",MIN(D75:H75))</f>
        <v>&gt; horizon</v>
      </c>
      <c r="E89" s="164"/>
      <c r="H89" s="165"/>
      <c r="I89" s="87"/>
      <c r="J89" s="88"/>
      <c r="K89" s="86"/>
      <c r="L89" s="86"/>
      <c r="M89" s="86"/>
      <c r="N89" s="86"/>
      <c r="O89" s="86"/>
      <c r="P89" s="86"/>
      <c r="Q89" s="86"/>
      <c r="R89" s="86"/>
      <c r="S89" s="86"/>
      <c r="T89" s="86"/>
      <c r="U89" s="86"/>
      <c r="V89" s="86"/>
      <c r="W89" s="86"/>
      <c r="X89" s="86"/>
      <c r="Y89" s="86"/>
      <c r="Z89" s="86"/>
    </row>
    <row r="90">
      <c r="A90" s="132" t="s">
        <v>832</v>
      </c>
      <c r="B90" s="170" t="str">
        <f t="shared" ref="B90:D90" si="33">IF(B82=0,"n/a",1+B87/B82)</f>
        <v>#N/A</v>
      </c>
      <c r="C90" s="170" t="str">
        <f t="shared" si="33"/>
        <v>#N/A</v>
      </c>
      <c r="D90" s="170" t="str">
        <f t="shared" si="33"/>
        <v>#N/A</v>
      </c>
      <c r="E90" s="164"/>
      <c r="H90" s="165"/>
      <c r="I90" s="87"/>
      <c r="J90" s="88"/>
      <c r="K90" s="86"/>
      <c r="L90" s="86"/>
      <c r="M90" s="86"/>
      <c r="N90" s="86"/>
      <c r="O90" s="86"/>
      <c r="P90" s="86"/>
      <c r="Q90" s="86"/>
      <c r="R90" s="86"/>
      <c r="S90" s="86"/>
      <c r="T90" s="86"/>
      <c r="U90" s="86"/>
      <c r="V90" s="86"/>
      <c r="W90" s="86"/>
      <c r="X90" s="86"/>
      <c r="Y90" s="86"/>
      <c r="Z90" s="86"/>
    </row>
    <row r="91">
      <c r="A91" s="171" t="s">
        <v>833</v>
      </c>
      <c r="B91" s="172" t="s">
        <v>834</v>
      </c>
      <c r="C91" s="172" t="s">
        <v>834</v>
      </c>
      <c r="D91" s="172" t="str">
        <f>IF(D87&gt;0,IF(AND(ISNUMBER(D88),D88&gt;$B$10),"ACCEPT","ACCEPT (check IRR)"),"REJECT / REVIEW")</f>
        <v>#N/A</v>
      </c>
      <c r="E91" s="151"/>
      <c r="F91" s="152"/>
      <c r="G91" s="152"/>
      <c r="H91" s="153"/>
      <c r="I91" s="87"/>
      <c r="J91" s="88"/>
      <c r="K91" s="86"/>
      <c r="L91" s="86"/>
      <c r="M91" s="86"/>
      <c r="N91" s="86"/>
      <c r="O91" s="86"/>
      <c r="P91" s="86"/>
      <c r="Q91" s="86"/>
      <c r="R91" s="86"/>
      <c r="S91" s="86"/>
      <c r="T91" s="86"/>
      <c r="U91" s="86"/>
      <c r="V91" s="86"/>
      <c r="W91" s="86"/>
      <c r="X91" s="86"/>
      <c r="Y91" s="86"/>
      <c r="Z91" s="86"/>
    </row>
    <row r="92">
      <c r="A92" s="148"/>
      <c r="B92" s="149"/>
      <c r="C92" s="149"/>
      <c r="D92" s="149"/>
      <c r="E92" s="149"/>
      <c r="F92" s="149"/>
      <c r="G92" s="149"/>
      <c r="H92" s="150"/>
      <c r="I92" s="87"/>
      <c r="J92" s="88"/>
      <c r="K92" s="86"/>
      <c r="L92" s="86"/>
      <c r="M92" s="86"/>
      <c r="N92" s="86"/>
      <c r="O92" s="86"/>
      <c r="P92" s="86"/>
      <c r="Q92" s="86"/>
      <c r="R92" s="86"/>
      <c r="S92" s="86"/>
      <c r="T92" s="86"/>
      <c r="U92" s="86"/>
      <c r="V92" s="86"/>
      <c r="W92" s="86"/>
      <c r="X92" s="86"/>
      <c r="Y92" s="86"/>
      <c r="Z92" s="86"/>
    </row>
    <row r="93">
      <c r="A93" s="164"/>
      <c r="H93" s="165"/>
      <c r="I93" s="87"/>
      <c r="J93" s="88"/>
      <c r="K93" s="86"/>
      <c r="L93" s="86"/>
      <c r="M93" s="86"/>
      <c r="N93" s="86"/>
      <c r="O93" s="86"/>
      <c r="P93" s="86"/>
      <c r="Q93" s="86"/>
      <c r="R93" s="86"/>
      <c r="S93" s="86"/>
      <c r="T93" s="86"/>
      <c r="U93" s="86"/>
      <c r="V93" s="86"/>
      <c r="W93" s="86"/>
      <c r="X93" s="86"/>
      <c r="Y93" s="86"/>
      <c r="Z93" s="86"/>
    </row>
    <row r="94">
      <c r="A94" s="164"/>
      <c r="H94" s="165"/>
      <c r="I94" s="87"/>
      <c r="J94" s="88"/>
      <c r="K94" s="86"/>
      <c r="L94" s="86"/>
      <c r="M94" s="86"/>
      <c r="N94" s="86"/>
      <c r="O94" s="86"/>
      <c r="P94" s="86"/>
      <c r="Q94" s="86"/>
      <c r="R94" s="86"/>
      <c r="S94" s="86"/>
      <c r="T94" s="86"/>
      <c r="U94" s="86"/>
      <c r="V94" s="86"/>
      <c r="W94" s="86"/>
      <c r="X94" s="86"/>
      <c r="Y94" s="86"/>
      <c r="Z94" s="86"/>
    </row>
    <row r="95">
      <c r="A95" s="164"/>
      <c r="H95" s="165"/>
      <c r="I95" s="87"/>
      <c r="J95" s="88"/>
      <c r="K95" s="86"/>
      <c r="L95" s="86"/>
      <c r="M95" s="86"/>
      <c r="N95" s="86"/>
      <c r="O95" s="86"/>
      <c r="P95" s="86"/>
      <c r="Q95" s="86"/>
      <c r="R95" s="86"/>
      <c r="S95" s="86"/>
      <c r="T95" s="86"/>
      <c r="U95" s="86"/>
      <c r="V95" s="86"/>
      <c r="W95" s="86"/>
      <c r="X95" s="86"/>
      <c r="Y95" s="86"/>
      <c r="Z95" s="86"/>
    </row>
    <row r="96">
      <c r="A96" s="164"/>
      <c r="H96" s="165"/>
      <c r="I96" s="87"/>
      <c r="J96" s="88"/>
      <c r="K96" s="86"/>
      <c r="L96" s="86"/>
      <c r="M96" s="86"/>
      <c r="N96" s="86"/>
      <c r="O96" s="86"/>
      <c r="P96" s="86"/>
      <c r="Q96" s="86"/>
      <c r="R96" s="86"/>
      <c r="S96" s="86"/>
      <c r="T96" s="86"/>
      <c r="U96" s="86"/>
      <c r="V96" s="86"/>
      <c r="W96" s="86"/>
      <c r="X96" s="86"/>
      <c r="Y96" s="86"/>
      <c r="Z96" s="86"/>
    </row>
    <row r="97">
      <c r="A97" s="164"/>
      <c r="H97" s="165"/>
      <c r="I97" s="87"/>
      <c r="J97" s="88"/>
      <c r="K97" s="86"/>
      <c r="L97" s="86"/>
      <c r="M97" s="86"/>
      <c r="N97" s="86"/>
      <c r="O97" s="86"/>
      <c r="P97" s="86"/>
      <c r="Q97" s="86"/>
      <c r="R97" s="86"/>
      <c r="S97" s="86"/>
      <c r="T97" s="86"/>
      <c r="U97" s="86"/>
      <c r="V97" s="86"/>
      <c r="W97" s="86"/>
      <c r="X97" s="86"/>
      <c r="Y97" s="86"/>
      <c r="Z97" s="86"/>
    </row>
    <row r="98">
      <c r="A98" s="164"/>
      <c r="H98" s="165"/>
      <c r="I98" s="87"/>
      <c r="J98" s="88"/>
      <c r="K98" s="86"/>
      <c r="L98" s="86"/>
      <c r="M98" s="86"/>
      <c r="N98" s="86"/>
      <c r="O98" s="86"/>
      <c r="P98" s="86"/>
      <c r="Q98" s="86"/>
      <c r="R98" s="86"/>
      <c r="S98" s="86"/>
      <c r="T98" s="86"/>
      <c r="U98" s="86"/>
      <c r="V98" s="86"/>
      <c r="W98" s="86"/>
      <c r="X98" s="86"/>
      <c r="Y98" s="86"/>
      <c r="Z98" s="86"/>
    </row>
    <row r="99">
      <c r="A99" s="164"/>
      <c r="H99" s="165"/>
      <c r="I99" s="87"/>
      <c r="J99" s="88"/>
      <c r="K99" s="86"/>
      <c r="L99" s="86"/>
      <c r="M99" s="86"/>
      <c r="N99" s="86"/>
      <c r="O99" s="86"/>
      <c r="P99" s="86"/>
      <c r="Q99" s="86"/>
      <c r="R99" s="86"/>
      <c r="S99" s="86"/>
      <c r="T99" s="86"/>
      <c r="U99" s="86"/>
      <c r="V99" s="86"/>
      <c r="W99" s="86"/>
      <c r="X99" s="86"/>
      <c r="Y99" s="86"/>
      <c r="Z99" s="86"/>
    </row>
    <row r="100">
      <c r="A100" s="164"/>
      <c r="H100" s="165"/>
      <c r="I100" s="87"/>
      <c r="J100" s="88"/>
      <c r="K100" s="86"/>
      <c r="L100" s="86"/>
      <c r="M100" s="86"/>
      <c r="N100" s="86"/>
      <c r="O100" s="86"/>
      <c r="P100" s="86"/>
      <c r="Q100" s="86"/>
      <c r="R100" s="86"/>
      <c r="S100" s="86"/>
      <c r="T100" s="86"/>
      <c r="U100" s="86"/>
      <c r="V100" s="86"/>
      <c r="W100" s="86"/>
      <c r="X100" s="86"/>
      <c r="Y100" s="86"/>
      <c r="Z100" s="86"/>
    </row>
    <row r="101">
      <c r="A101" s="164"/>
      <c r="H101" s="165"/>
      <c r="I101" s="87"/>
      <c r="J101" s="88"/>
      <c r="K101" s="86"/>
      <c r="L101" s="86"/>
      <c r="M101" s="86"/>
      <c r="N101" s="86"/>
      <c r="O101" s="86"/>
      <c r="P101" s="86"/>
      <c r="Q101" s="86"/>
      <c r="R101" s="86"/>
      <c r="S101" s="86"/>
      <c r="T101" s="86"/>
      <c r="U101" s="86"/>
      <c r="V101" s="86"/>
      <c r="W101" s="86"/>
      <c r="X101" s="86"/>
      <c r="Y101" s="86"/>
      <c r="Z101" s="86"/>
    </row>
    <row r="102">
      <c r="A102" s="164"/>
      <c r="H102" s="165"/>
      <c r="I102" s="87"/>
      <c r="J102" s="88"/>
      <c r="K102" s="86"/>
      <c r="L102" s="86"/>
      <c r="M102" s="86"/>
      <c r="N102" s="86"/>
      <c r="O102" s="86"/>
      <c r="P102" s="86"/>
      <c r="Q102" s="86"/>
      <c r="R102" s="86"/>
      <c r="S102" s="86"/>
      <c r="T102" s="86"/>
      <c r="U102" s="86"/>
      <c r="V102" s="86"/>
      <c r="W102" s="86"/>
      <c r="X102" s="86"/>
      <c r="Y102" s="86"/>
      <c r="Z102" s="86"/>
    </row>
    <row r="103">
      <c r="A103" s="164"/>
      <c r="H103" s="165"/>
      <c r="I103" s="87"/>
      <c r="J103" s="88"/>
      <c r="K103" s="86"/>
      <c r="L103" s="86"/>
      <c r="M103" s="86"/>
      <c r="N103" s="86"/>
      <c r="O103" s="86"/>
      <c r="P103" s="86"/>
      <c r="Q103" s="86"/>
      <c r="R103" s="86"/>
      <c r="S103" s="86"/>
      <c r="T103" s="86"/>
      <c r="U103" s="86"/>
      <c r="V103" s="86"/>
      <c r="W103" s="86"/>
      <c r="X103" s="86"/>
      <c r="Y103" s="86"/>
      <c r="Z103" s="86"/>
    </row>
    <row r="104">
      <c r="A104" s="164"/>
      <c r="H104" s="165"/>
      <c r="I104" s="87"/>
      <c r="J104" s="88"/>
      <c r="K104" s="86"/>
      <c r="L104" s="86"/>
      <c r="M104" s="86"/>
      <c r="N104" s="86"/>
      <c r="O104" s="86"/>
      <c r="P104" s="86"/>
      <c r="Q104" s="86"/>
      <c r="R104" s="86"/>
      <c r="S104" s="86"/>
      <c r="T104" s="86"/>
      <c r="U104" s="86"/>
      <c r="V104" s="86"/>
      <c r="W104" s="86"/>
      <c r="X104" s="86"/>
      <c r="Y104" s="86"/>
      <c r="Z104" s="86"/>
    </row>
    <row r="105">
      <c r="A105" s="164"/>
      <c r="H105" s="165"/>
      <c r="I105" s="87"/>
      <c r="J105" s="88"/>
      <c r="K105" s="86"/>
      <c r="L105" s="86"/>
      <c r="M105" s="86"/>
      <c r="N105" s="86"/>
      <c r="O105" s="86"/>
      <c r="P105" s="86"/>
      <c r="Q105" s="86"/>
      <c r="R105" s="86"/>
      <c r="S105" s="86"/>
      <c r="T105" s="86"/>
      <c r="U105" s="86"/>
      <c r="V105" s="86"/>
      <c r="W105" s="86"/>
      <c r="X105" s="86"/>
      <c r="Y105" s="86"/>
      <c r="Z105" s="86"/>
    </row>
    <row r="106">
      <c r="A106" s="164"/>
      <c r="H106" s="165"/>
      <c r="I106" s="87"/>
      <c r="J106" s="88"/>
      <c r="K106" s="86"/>
      <c r="L106" s="86"/>
      <c r="M106" s="86"/>
      <c r="N106" s="86"/>
      <c r="O106" s="86"/>
      <c r="P106" s="86"/>
      <c r="Q106" s="86"/>
      <c r="R106" s="86"/>
      <c r="S106" s="86"/>
      <c r="T106" s="86"/>
      <c r="U106" s="86"/>
      <c r="V106" s="86"/>
      <c r="W106" s="86"/>
      <c r="X106" s="86"/>
      <c r="Y106" s="86"/>
      <c r="Z106" s="86"/>
    </row>
    <row r="107">
      <c r="A107" s="164"/>
      <c r="H107" s="165"/>
      <c r="I107" s="87"/>
      <c r="J107" s="88"/>
      <c r="K107" s="86"/>
      <c r="L107" s="86"/>
      <c r="M107" s="86"/>
      <c r="N107" s="86"/>
      <c r="O107" s="86"/>
      <c r="P107" s="86"/>
      <c r="Q107" s="86"/>
      <c r="R107" s="86"/>
      <c r="S107" s="86"/>
      <c r="T107" s="86"/>
      <c r="U107" s="86"/>
      <c r="V107" s="86"/>
      <c r="W107" s="86"/>
      <c r="X107" s="86"/>
      <c r="Y107" s="86"/>
      <c r="Z107" s="86"/>
    </row>
    <row r="108">
      <c r="A108" s="151"/>
      <c r="B108" s="152"/>
      <c r="C108" s="152"/>
      <c r="D108" s="152"/>
      <c r="E108" s="152"/>
      <c r="F108" s="152"/>
      <c r="G108" s="152"/>
      <c r="H108" s="153"/>
      <c r="I108" s="90"/>
      <c r="J108" s="92"/>
      <c r="K108" s="86"/>
      <c r="L108" s="86"/>
      <c r="M108" s="86"/>
      <c r="N108" s="86"/>
      <c r="O108" s="86"/>
      <c r="P108" s="86"/>
      <c r="Q108" s="86"/>
      <c r="R108" s="86"/>
      <c r="S108" s="86"/>
      <c r="T108" s="86"/>
      <c r="U108" s="86"/>
      <c r="V108" s="86"/>
      <c r="W108" s="86"/>
      <c r="X108" s="86"/>
      <c r="Y108" s="86"/>
      <c r="Z108" s="86"/>
    </row>
    <row r="109">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sheetData>
  <mergeCells count="24">
    <mergeCell ref="C16:H20"/>
    <mergeCell ref="A21:H21"/>
    <mergeCell ref="A22:H22"/>
    <mergeCell ref="A25:I25"/>
    <mergeCell ref="A1:H7"/>
    <mergeCell ref="I1:I24"/>
    <mergeCell ref="J1:J32"/>
    <mergeCell ref="A8:C8"/>
    <mergeCell ref="D8:H14"/>
    <mergeCell ref="A15:C15"/>
    <mergeCell ref="A16:B16"/>
    <mergeCell ref="A62:H63"/>
    <mergeCell ref="A64:B64"/>
    <mergeCell ref="A77:H79"/>
    <mergeCell ref="A80:D80"/>
    <mergeCell ref="E80:H91"/>
    <mergeCell ref="A92:H108"/>
    <mergeCell ref="A26:I26"/>
    <mergeCell ref="A31:I32"/>
    <mergeCell ref="A33:H33"/>
    <mergeCell ref="I33:J108"/>
    <mergeCell ref="A34:B34"/>
    <mergeCell ref="A47:H48"/>
    <mergeCell ref="A49:B4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